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Stats" sheetId="2" state="visible" r:id="rId2"/>
  </sheets>
  <definedNames>
    <definedName name="_xlnm._FilterDatabase" localSheetId="0" hidden="1">'Jobs'!$A$1:$O$499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9"/>
    </font>
    <font>
      <name val="Calibri"/>
      <color rgb="00757575"/>
      <sz val="9"/>
    </font>
    <font>
      <name val="Calibri"/>
      <b val="1"/>
      <color rgb="001565C0"/>
      <sz val="10"/>
    </font>
    <font>
      <name val="Calibri"/>
      <b val="1"/>
      <color rgb="001B5E20"/>
      <sz val="9"/>
    </font>
    <font>
      <name val="Calibri"/>
      <b val="1"/>
      <color rgb="00E65100"/>
      <sz val="9"/>
    </font>
    <font>
      <name val="Calibri"/>
      <strike val="1"/>
      <color rgb="009E9E9E"/>
      <sz val="9"/>
    </font>
    <font>
      <name val="Calibri"/>
      <color rgb="00E65100"/>
      <sz val="9"/>
    </font>
    <font>
      <name val="Calibri"/>
      <b val="1"/>
      <color rgb="001A237E"/>
      <sz val="16"/>
    </font>
    <font>
      <name val="Calibri"/>
      <i val="1"/>
      <color rgb="00777777"/>
      <sz val="9"/>
    </font>
    <font>
      <name val="Calibri"/>
      <b val="1"/>
      <color rgb="00FFFFFF"/>
      <sz val="11"/>
    </font>
    <font>
      <name val="Calibri"/>
      <b val="1"/>
      <color rgb="001A237E"/>
      <sz val="14"/>
    </font>
    <font>
      <name val="Calibri"/>
      <b val="1"/>
      <color rgb="001A237E"/>
      <sz val="11"/>
    </font>
    <font>
      <name val="Calibri"/>
      <color rgb="00333333"/>
      <sz val="10"/>
    </font>
  </fonts>
  <fills count="16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E8F5E9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EDE7F6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D6EFD8"/>
      </patternFill>
    </fill>
    <fill>
      <patternFill patternType="solid">
        <fgColor rgb="00DCEEFB"/>
      </patternFill>
    </fill>
    <fill>
      <patternFill patternType="solid">
        <fgColor rgb="00E3F2FD"/>
      </patternFill>
    </fill>
    <fill>
      <patternFill patternType="solid">
        <fgColor rgb="00FCE4EC"/>
      </patternFill>
    </fill>
    <fill>
      <patternFill patternType="solid">
        <fgColor rgb="00F8F9FF"/>
      </patternFill>
    </fill>
    <fill>
      <patternFill patternType="solid">
        <fgColor rgb="00EEF2FF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8DCE6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vertical="center"/>
    </xf>
    <xf numFmtId="0" fontId="2" fillId="3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2" fillId="6" borderId="2" applyAlignment="1" pivotButton="0" quotePrefix="0" xfId="0">
      <alignment vertical="center"/>
    </xf>
    <xf numFmtId="0" fontId="2" fillId="6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2" fillId="7" borderId="2" applyAlignment="1" pivotButton="0" quotePrefix="0" xfId="0">
      <alignment vertical="center"/>
    </xf>
    <xf numFmtId="0" fontId="2" fillId="7" borderId="2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2" fillId="8" borderId="2" applyAlignment="1" pivotButton="0" quotePrefix="0" xfId="0">
      <alignment vertical="center"/>
    </xf>
    <xf numFmtId="0" fontId="2" fillId="8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  <xf numFmtId="0" fontId="2" fillId="9" borderId="2" applyAlignment="1" pivotButton="0" quotePrefix="0" xfId="0">
      <alignment vertical="center"/>
    </xf>
    <xf numFmtId="0" fontId="2" fillId="9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0" fontId="2" fillId="10" borderId="2" applyAlignment="1" pivotButton="0" quotePrefix="0" xfId="0">
      <alignment vertical="center"/>
    </xf>
    <xf numFmtId="0" fontId="2" fillId="10" borderId="2" applyAlignment="1" pivotButton="0" quotePrefix="0" xfId="0">
      <alignment horizontal="center" vertical="center"/>
    </xf>
    <xf numFmtId="0" fontId="3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0" fontId="7" fillId="3" borderId="2" applyAlignment="1" pivotButton="0" quotePrefix="0" xfId="0">
      <alignment vertical="center"/>
    </xf>
    <xf numFmtId="0" fontId="5" fillId="3" borderId="2" applyAlignment="1" pivotButton="0" quotePrefix="0" xfId="0">
      <alignment horizontal="center" vertical="center"/>
    </xf>
    <xf numFmtId="0" fontId="2" fillId="11" borderId="2" applyAlignment="1" pivotButton="0" quotePrefix="0" xfId="0">
      <alignment vertical="center"/>
    </xf>
    <xf numFmtId="0" fontId="2" fillId="11" borderId="2" applyAlignment="1" pivotButton="0" quotePrefix="0" xfId="0">
      <alignment horizontal="center" vertical="center"/>
    </xf>
    <xf numFmtId="0" fontId="3" fillId="11" borderId="2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/>
    </xf>
    <xf numFmtId="0" fontId="3" fillId="9" borderId="2" applyAlignment="1" pivotButton="0" quotePrefix="0" xfId="0">
      <alignment horizontal="center" vertical="center"/>
    </xf>
    <xf numFmtId="0" fontId="7" fillId="7" borderId="2" applyAlignment="1" pivotButton="0" quotePrefix="0" xfId="0">
      <alignment vertical="center"/>
    </xf>
    <xf numFmtId="0" fontId="5" fillId="7" borderId="2" applyAlignment="1" pivotButton="0" quotePrefix="0" xfId="0">
      <alignment horizontal="center" vertical="center"/>
    </xf>
    <xf numFmtId="0" fontId="7" fillId="6" borderId="2" applyAlignment="1" pivotButton="0" quotePrefix="0" xfId="0">
      <alignment vertical="center"/>
    </xf>
    <xf numFmtId="0" fontId="5" fillId="6" borderId="2" applyAlignment="1" pivotButton="0" quotePrefix="0" xfId="0">
      <alignment horizontal="center" vertical="center"/>
    </xf>
    <xf numFmtId="0" fontId="7" fillId="9" borderId="2" applyAlignment="1" pivotButton="0" quotePrefix="0" xfId="0">
      <alignment vertical="center"/>
    </xf>
    <xf numFmtId="0" fontId="5" fillId="9" borderId="2" applyAlignment="1" pivotButton="0" quotePrefix="0" xfId="0">
      <alignment horizontal="center" vertical="center"/>
    </xf>
    <xf numFmtId="0" fontId="7" fillId="8" borderId="2" applyAlignment="1" pivotButton="0" quotePrefix="0" xfId="0">
      <alignment vertical="center"/>
    </xf>
    <xf numFmtId="0" fontId="3" fillId="8" borderId="2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7" fillId="11" borderId="2" applyAlignment="1" pivotButton="0" quotePrefix="0" xfId="0">
      <alignment vertical="center"/>
    </xf>
    <xf numFmtId="0" fontId="5" fillId="11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vertical="center"/>
    </xf>
    <xf numFmtId="0" fontId="2" fillId="12" borderId="2" applyAlignment="1" pivotButton="0" quotePrefix="0" xfId="0">
      <alignment horizontal="center" vertical="center"/>
    </xf>
    <xf numFmtId="0" fontId="4" fillId="12" borderId="2" applyAlignment="1" pivotButton="0" quotePrefix="0" xfId="0">
      <alignment horizontal="center" vertical="center"/>
    </xf>
    <xf numFmtId="0" fontId="2" fillId="13" borderId="2" applyAlignment="1" pivotButton="0" quotePrefix="0" xfId="0">
      <alignment vertical="center"/>
    </xf>
    <xf numFmtId="0" fontId="2" fillId="13" borderId="2" applyAlignment="1" pivotButton="0" quotePrefix="0" xfId="0">
      <alignment horizontal="center" vertical="center"/>
    </xf>
    <xf numFmtId="0" fontId="4" fillId="13" borderId="2" applyAlignment="1" pivotButton="0" quotePrefix="0" xfId="0">
      <alignment horizontal="center" vertical="center"/>
    </xf>
    <xf numFmtId="0" fontId="3" fillId="12" borderId="2" applyAlignment="1" pivotButton="0" quotePrefix="0" xfId="0">
      <alignment horizontal="center" vertical="center"/>
    </xf>
    <xf numFmtId="0" fontId="3" fillId="13" borderId="2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horizontal="center" vertical="center"/>
    </xf>
    <xf numFmtId="0" fontId="14" fillId="15" borderId="0" pivotButton="0" quotePrefix="0" xfId="0"/>
    <xf numFmtId="0" fontId="14" fillId="1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3" customWidth="1" min="3" max="3"/>
    <col width="9" customWidth="1" min="4" max="4"/>
    <col width="8" customWidth="1" min="5" max="5"/>
    <col width="7" customWidth="1" min="6" max="6"/>
    <col width="12" customWidth="1" min="7" max="7"/>
    <col width="28" customWidth="1" min="8" max="8"/>
    <col width="7" customWidth="1" min="9" max="9"/>
    <col width="9" customWidth="1" min="10" max="10"/>
    <col width="9" customWidth="1" min="11" max="11"/>
    <col width="13" customWidth="1" min="12" max="12"/>
    <col width="13" customWidth="1" min="13" max="13"/>
    <col width="16" customWidth="1" min="14" max="14"/>
    <col width="32" customWidth="1" min="15" max="15"/>
  </cols>
  <sheetData>
    <row r="1" ht="24" customHeight="1">
      <c r="A1" s="1" t="inlineStr">
        <is>
          <t>Title</t>
        </is>
      </c>
      <c r="B1" s="1" t="inlineStr">
        <is>
          <t>Company</t>
        </is>
      </c>
      <c r="C1" s="1" t="inlineStr">
        <is>
          <t>Posted Date</t>
        </is>
      </c>
      <c r="D1" s="1" t="inlineStr">
        <is>
          <t>Days Ago</t>
        </is>
      </c>
      <c r="E1" s="1" t="inlineStr">
        <is>
          <t>State</t>
        </is>
      </c>
      <c r="F1" s="1" t="inlineStr">
        <is>
          <t>Score</t>
        </is>
      </c>
      <c r="G1" s="1" t="inlineStr">
        <is>
          <t>Source</t>
        </is>
      </c>
      <c r="H1" s="1" t="inlineStr">
        <is>
          <t>Locations</t>
        </is>
      </c>
      <c r="I1" s="1" t="inlineStr">
        <is>
          <t>Link</t>
        </is>
      </c>
      <c r="J1" s="1" t="inlineStr">
        <is>
          <t>Applied</t>
        </is>
      </c>
      <c r="K1" s="1" t="inlineStr">
        <is>
          <t>Priority</t>
        </is>
      </c>
      <c r="L1" s="1" t="inlineStr">
        <is>
          <t>Resume Ver.</t>
        </is>
      </c>
      <c r="M1" s="1" t="inlineStr">
        <is>
          <t>Cover Letter</t>
        </is>
      </c>
      <c r="N1" s="1" t="inlineStr">
        <is>
          <t>Status</t>
        </is>
      </c>
      <c r="O1" s="1" t="inlineStr">
        <is>
          <t>Notes</t>
        </is>
      </c>
    </row>
    <row r="2" ht="16" customHeight="1">
      <c r="A2" s="2" t="inlineStr">
        <is>
          <t>Data Science Intern</t>
        </is>
      </c>
      <c r="B2" s="2" t="inlineStr">
        <is>
          <t>Cadence Design Systems</t>
        </is>
      </c>
      <c r="C2" s="3" t="inlineStr">
        <is>
          <t>2026-03-20</t>
        </is>
      </c>
      <c r="D2" s="3" t="n">
        <v>0</v>
      </c>
      <c r="E2" s="3" t="inlineStr">
        <is>
          <t>MI</t>
        </is>
      </c>
      <c r="F2" s="4" t="n">
        <v>5</v>
      </c>
      <c r="G2" s="3" t="inlineStr">
        <is>
          <t>Simplify</t>
        </is>
      </c>
      <c r="H2" s="2" t="inlineStr">
        <is>
          <t>Michigan</t>
        </is>
      </c>
      <c r="I2" s="5">
        <f>HYPERLINK("https://cadence.wd1.myworkdayjobs.com/External_Careers/job/HOME-MI/Data-Science-Intern_R53950","↗")</f>
        <v/>
      </c>
      <c r="J2" s="3" t="inlineStr">
        <is>
          <t>No</t>
        </is>
      </c>
      <c r="K2" s="3" t="inlineStr"/>
      <c r="L2" s="2" t="inlineStr"/>
      <c r="M2" s="2" t="inlineStr"/>
      <c r="N2" s="2" t="inlineStr"/>
      <c r="O2" s="2" t="inlineStr"/>
    </row>
    <row r="3" ht="16" customHeight="1">
      <c r="A3" s="2" t="inlineStr">
        <is>
          <t>Software Engineering Intern - Cloud Governance</t>
        </is>
      </c>
      <c r="B3" s="2" t="inlineStr">
        <is>
          <t>The Walt Disney Company</t>
        </is>
      </c>
      <c r="C3" s="3" t="inlineStr">
        <is>
          <t>2026-03-20</t>
        </is>
      </c>
      <c r="D3" s="3" t="n">
        <v>0</v>
      </c>
      <c r="E3" s="3" t="inlineStr">
        <is>
          <t>CA</t>
        </is>
      </c>
      <c r="F3" s="6" t="n">
        <v>13</v>
      </c>
      <c r="G3" s="3" t="inlineStr">
        <is>
          <t>Simplify</t>
        </is>
      </c>
      <c r="H3" s="2" t="inlineStr">
        <is>
          <t>Seattle, WA, Burbank, CA</t>
        </is>
      </c>
      <c r="I3" s="5">
        <f>HYPERLINK("https://disney.wd5.myworkdayjobs.com/disneycareerdc/job/Burbank-CA-USA/Software-Engineering-Intern--Cloud-Governance--Summer-2026_10143615-1","↗")</f>
        <v/>
      </c>
      <c r="J3" s="3" t="inlineStr">
        <is>
          <t>No</t>
        </is>
      </c>
      <c r="K3" s="3" t="inlineStr"/>
      <c r="L3" s="2" t="inlineStr"/>
      <c r="M3" s="2" t="inlineStr"/>
      <c r="N3" s="2" t="inlineStr"/>
      <c r="O3" s="2" t="inlineStr"/>
    </row>
    <row r="4" ht="16" customHeight="1">
      <c r="A4" s="2" t="inlineStr">
        <is>
          <t>Software Engineering Intern - Cloud Governance</t>
        </is>
      </c>
      <c r="B4" s="2" t="inlineStr">
        <is>
          <t>The Walt Disney Company</t>
        </is>
      </c>
      <c r="C4" s="3" t="inlineStr">
        <is>
          <t>2026-03-20</t>
        </is>
      </c>
      <c r="D4" s="3" t="n">
        <v>0</v>
      </c>
      <c r="E4" s="3" t="inlineStr">
        <is>
          <t>CA</t>
        </is>
      </c>
      <c r="F4" s="6" t="n">
        <v>13</v>
      </c>
      <c r="G4" s="3" t="inlineStr">
        <is>
          <t>Simplify</t>
        </is>
      </c>
      <c r="H4" s="2" t="inlineStr">
        <is>
          <t>Seattle, WA, Burbank, CA</t>
        </is>
      </c>
      <c r="I4" s="5">
        <f>HYPERLINK("https://disney.wd5.myworkdayjobs.com/disneycareer/job/Burbank-CA-USA/Software-Engineering-Intern--Cloud-Governance--Summer-2026_10143615","↗")</f>
        <v/>
      </c>
      <c r="J4" s="3" t="inlineStr">
        <is>
          <t>No</t>
        </is>
      </c>
      <c r="K4" s="3" t="inlineStr"/>
      <c r="L4" s="2" t="inlineStr"/>
      <c r="M4" s="2" t="inlineStr"/>
      <c r="N4" s="2" t="inlineStr"/>
      <c r="O4" s="2" t="inlineStr"/>
    </row>
    <row r="5" ht="16" customHeight="1">
      <c r="A5" s="2" t="inlineStr">
        <is>
          <t>Data Analytics Intern - Engineering &amp; SAP Operations</t>
        </is>
      </c>
      <c r="B5" s="2" t="inlineStr">
        <is>
          <t>Robert Bosch Venture Capital</t>
        </is>
      </c>
      <c r="C5" s="3" t="inlineStr">
        <is>
          <t>2026-03-20</t>
        </is>
      </c>
      <c r="D5" s="3" t="n">
        <v>0</v>
      </c>
      <c r="E5" s="3" t="inlineStr">
        <is>
          <t>IL</t>
        </is>
      </c>
      <c r="F5" s="4" t="n">
        <v>4</v>
      </c>
      <c r="G5" s="3" t="inlineStr">
        <is>
          <t>Simplify</t>
        </is>
      </c>
      <c r="H5" s="2" t="inlineStr">
        <is>
          <t>Vernon Hills, IL</t>
        </is>
      </c>
      <c r="I5" s="5">
        <f>HYPERLINK("https://jobs.smartrecruiters.com/BoschGroup/744000115968436","↗")</f>
        <v/>
      </c>
      <c r="J5" s="3" t="inlineStr">
        <is>
          <t>No</t>
        </is>
      </c>
      <c r="K5" s="3" t="inlineStr"/>
      <c r="L5" s="2" t="inlineStr"/>
      <c r="M5" s="2" t="inlineStr"/>
      <c r="N5" s="2" t="inlineStr"/>
      <c r="O5" s="2" t="inlineStr"/>
    </row>
    <row r="6" ht="16" customHeight="1">
      <c r="A6" s="2" t="inlineStr">
        <is>
          <t>Intern Automation and Machine Learning Engineer</t>
        </is>
      </c>
      <c r="B6" s="2" t="inlineStr">
        <is>
          <t xml:space="preserve">Coherent </t>
        </is>
      </c>
      <c r="C6" s="3" t="inlineStr">
        <is>
          <t>2026-03-20</t>
        </is>
      </c>
      <c r="D6" s="3" t="n">
        <v>0</v>
      </c>
      <c r="E6" s="3" t="inlineStr">
        <is>
          <t>TX</t>
        </is>
      </c>
      <c r="F6" s="4" t="n">
        <v>4</v>
      </c>
      <c r="G6" s="3" t="inlineStr">
        <is>
          <t>Simplify</t>
        </is>
      </c>
      <c r="H6" s="2" t="inlineStr">
        <is>
          <t>Celina, TX</t>
        </is>
      </c>
      <c r="I6" s="5">
        <f>HYPERLINK("https://hcwp.fa.us2.oraclecloud.com/hcmUI/CandidateExperience/en/sites/CX_1/job/2011369","↗")</f>
        <v/>
      </c>
      <c r="J6" s="3" t="inlineStr">
        <is>
          <t>No</t>
        </is>
      </c>
      <c r="K6" s="3" t="inlineStr"/>
      <c r="L6" s="2" t="inlineStr"/>
      <c r="M6" s="2" t="inlineStr"/>
      <c r="N6" s="2" t="inlineStr"/>
      <c r="O6" s="2" t="inlineStr"/>
    </row>
    <row r="7" ht="16" customHeight="1">
      <c r="A7" s="2" t="inlineStr">
        <is>
          <t>Walt Disney Animation Studios Data Engineering Intern</t>
        </is>
      </c>
      <c r="B7" s="2" t="inlineStr">
        <is>
          <t>The Walt Disney Company</t>
        </is>
      </c>
      <c r="C7" s="3" t="inlineStr">
        <is>
          <t>2026-03-20</t>
        </is>
      </c>
      <c r="D7" s="3" t="n">
        <v>0</v>
      </c>
      <c r="E7" s="3" t="inlineStr">
        <is>
          <t>CA</t>
        </is>
      </c>
      <c r="F7" s="4" t="n">
        <v>4</v>
      </c>
      <c r="G7" s="3" t="inlineStr">
        <is>
          <t>Simplify</t>
        </is>
      </c>
      <c r="H7" s="2" t="inlineStr">
        <is>
          <t>Burbank, CA</t>
        </is>
      </c>
      <c r="I7" s="5">
        <f>HYPERLINK("https://disney.wd5.myworkdayjobs.com/disneycareer/job/Burbank-CA-USA/Walt-Disney-Animation-Studios-Data-Engineering-Intern--Summer-2026_10139294-1","↗")</f>
        <v/>
      </c>
      <c r="J7" s="3" t="inlineStr">
        <is>
          <t>No</t>
        </is>
      </c>
      <c r="K7" s="3" t="inlineStr"/>
      <c r="L7" s="2" t="inlineStr"/>
      <c r="M7" s="2" t="inlineStr"/>
      <c r="N7" s="2" t="inlineStr"/>
      <c r="O7" s="2" t="inlineStr"/>
    </row>
    <row r="8" ht="16" customHeight="1">
      <c r="A8" s="2" t="inlineStr">
        <is>
          <t>Research Intern AI/ML &amp; DH</t>
        </is>
      </c>
      <c r="B8" s="2" t="inlineStr">
        <is>
          <t>Johnson &amp; Johnson</t>
        </is>
      </c>
      <c r="C8" s="3" t="inlineStr">
        <is>
          <t>2026-03-20</t>
        </is>
      </c>
      <c r="D8" s="3" t="n">
        <v>0</v>
      </c>
      <c r="E8" s="3" t="inlineStr">
        <is>
          <t>CA</t>
        </is>
      </c>
      <c r="F8" s="7" t="n">
        <v>8</v>
      </c>
      <c r="G8" s="3" t="inlineStr">
        <is>
          <t>Simplify</t>
        </is>
      </c>
      <c r="H8" s="2" t="inlineStr">
        <is>
          <t>Cambridge, MA</t>
        </is>
      </c>
      <c r="I8" s="5">
        <f>HYPERLINK("https://jj.wd5.myworkdayjobs.com/JJ/job/Cambridge-Massachusetts-United-States-of-America/Research-Intern-AI-ML---DH_R-063920","↗")</f>
        <v/>
      </c>
      <c r="J8" s="3" t="inlineStr">
        <is>
          <t>No</t>
        </is>
      </c>
      <c r="K8" s="3" t="inlineStr"/>
      <c r="L8" s="2" t="inlineStr"/>
      <c r="M8" s="2" t="inlineStr"/>
      <c r="N8" s="2" t="inlineStr"/>
      <c r="O8" s="2" t="inlineStr"/>
    </row>
    <row r="9" ht="16" customHeight="1">
      <c r="A9" s="8" t="inlineStr">
        <is>
          <t>Cyber AI/ML Intern</t>
        </is>
      </c>
      <c r="B9" s="8" t="inlineStr">
        <is>
          <t>Leidos</t>
        </is>
      </c>
      <c r="C9" s="9" t="inlineStr">
        <is>
          <t>2026-03-20</t>
        </is>
      </c>
      <c r="D9" s="9" t="n">
        <v>0</v>
      </c>
      <c r="E9" s="9" t="inlineStr">
        <is>
          <t>Remote</t>
        </is>
      </c>
      <c r="F9" s="7" t="n">
        <v>8</v>
      </c>
      <c r="G9" s="9" t="inlineStr">
        <is>
          <t>Simplify</t>
        </is>
      </c>
      <c r="H9" s="8" t="inlineStr">
        <is>
          <t>Remote in USA</t>
        </is>
      </c>
      <c r="I9" s="10">
        <f>HYPERLINK("https://leidos.wd5.myworkdayjobs.com/External/job/6314-RemoteTeleworker-US/Cyber-AI-ML-Intern-_R-00178756","↗")</f>
        <v/>
      </c>
      <c r="J9" s="9" t="inlineStr">
        <is>
          <t>No</t>
        </is>
      </c>
      <c r="K9" s="9" t="inlineStr"/>
      <c r="L9" s="8" t="inlineStr"/>
      <c r="M9" s="8" t="inlineStr"/>
      <c r="N9" s="8" t="inlineStr"/>
      <c r="O9" s="8" t="inlineStr"/>
    </row>
    <row r="10" ht="16" customHeight="1">
      <c r="A10" s="2" t="inlineStr">
        <is>
          <t>Software Engineering Intern - AI</t>
        </is>
      </c>
      <c r="B10" s="2" t="inlineStr">
        <is>
          <t>The Walt Disney Company</t>
        </is>
      </c>
      <c r="C10" s="3" t="inlineStr">
        <is>
          <t>2026-03-20</t>
        </is>
      </c>
      <c r="D10" s="3" t="n">
        <v>0</v>
      </c>
      <c r="E10" s="3" t="inlineStr">
        <is>
          <t>WA</t>
        </is>
      </c>
      <c r="F10" s="6" t="n">
        <v>13</v>
      </c>
      <c r="G10" s="3" t="inlineStr">
        <is>
          <t>Simplify</t>
        </is>
      </c>
      <c r="H10" s="2" t="inlineStr">
        <is>
          <t>Seattle, WA</t>
        </is>
      </c>
      <c r="I10" s="5">
        <f>HYPERLINK("https://disney.wd5.myworkdayjobs.com/disneycareerdc/job/Seattle-WA-USA/Software-Engineering-Intern--AI--Summer-2026_10143621","↗")</f>
        <v/>
      </c>
      <c r="J10" s="3" t="inlineStr">
        <is>
          <t>No</t>
        </is>
      </c>
      <c r="K10" s="3" t="inlineStr"/>
      <c r="L10" s="2" t="inlineStr"/>
      <c r="M10" s="2" t="inlineStr"/>
      <c r="N10" s="2" t="inlineStr"/>
      <c r="O10" s="2" t="inlineStr"/>
    </row>
    <row r="11" ht="16" customHeight="1">
      <c r="A11" s="2" t="inlineStr">
        <is>
          <t>Software Engineer Intern - Data Products</t>
        </is>
      </c>
      <c r="B11" s="2" t="inlineStr">
        <is>
          <t>The Walt Disney Company</t>
        </is>
      </c>
      <c r="C11" s="3" t="inlineStr">
        <is>
          <t>2026-03-20</t>
        </is>
      </c>
      <c r="D11" s="3" t="n">
        <v>0</v>
      </c>
      <c r="E11" s="3" t="inlineStr">
        <is>
          <t>CA</t>
        </is>
      </c>
      <c r="F11" s="4" t="n">
        <v>7</v>
      </c>
      <c r="G11" s="3" t="inlineStr">
        <is>
          <t>Simplify</t>
        </is>
      </c>
      <c r="H11" s="2" t="inlineStr">
        <is>
          <t>Burbank, CA</t>
        </is>
      </c>
      <c r="I11" s="5">
        <f>HYPERLINK("https://disney.wd5.myworkdayjobs.com/disneycareerdc/job/Burbank-CA-USA/Software-Engineering-Intern--Data-Products--Summer-2026_10143613","↗")</f>
        <v/>
      </c>
      <c r="J11" s="3" t="inlineStr">
        <is>
          <t>No</t>
        </is>
      </c>
      <c r="K11" s="3" t="inlineStr"/>
      <c r="L11" s="2" t="inlineStr"/>
      <c r="M11" s="2" t="inlineStr"/>
      <c r="N11" s="2" t="inlineStr"/>
      <c r="O11" s="2" t="inlineStr"/>
    </row>
    <row r="12" ht="16" customHeight="1">
      <c r="A12" s="2" t="inlineStr">
        <is>
          <t>Software Engineering Intern - AI</t>
        </is>
      </c>
      <c r="B12" s="2" t="inlineStr">
        <is>
          <t>The Walt Disney Company</t>
        </is>
      </c>
      <c r="C12" s="3" t="inlineStr">
        <is>
          <t>2026-03-20</t>
        </is>
      </c>
      <c r="D12" s="3" t="n">
        <v>0</v>
      </c>
      <c r="E12" s="3" t="inlineStr">
        <is>
          <t>WA</t>
        </is>
      </c>
      <c r="F12" s="6" t="n">
        <v>13</v>
      </c>
      <c r="G12" s="3" t="inlineStr">
        <is>
          <t>Simplify</t>
        </is>
      </c>
      <c r="H12" s="2" t="inlineStr">
        <is>
          <t>Seattle, WA</t>
        </is>
      </c>
      <c r="I12" s="5">
        <f>HYPERLINK("https://disney.wd5.myworkdayjobs.com/disneycareer/job/Seattle-WA-USA/Software-Engineering-Intern--AI--Summer-2026_10143621-1","↗")</f>
        <v/>
      </c>
      <c r="J12" s="3" t="inlineStr">
        <is>
          <t>No</t>
        </is>
      </c>
      <c r="K12" s="3" t="inlineStr"/>
      <c r="L12" s="2" t="inlineStr"/>
      <c r="M12" s="2" t="inlineStr"/>
      <c r="N12" s="2" t="inlineStr"/>
      <c r="O12" s="2" t="inlineStr"/>
    </row>
    <row r="13" ht="16" customHeight="1">
      <c r="A13" s="2" t="inlineStr">
        <is>
          <t>AI Engineering Intern</t>
        </is>
      </c>
      <c r="B13" s="2" t="inlineStr">
        <is>
          <t>Littelfuse</t>
        </is>
      </c>
      <c r="C13" s="3" t="inlineStr">
        <is>
          <t>2026-03-20</t>
        </is>
      </c>
      <c r="D13" s="3" t="n">
        <v>0</v>
      </c>
      <c r="E13" s="3" t="inlineStr">
        <is>
          <t>IL</t>
        </is>
      </c>
      <c r="F13" s="4" t="n">
        <v>4</v>
      </c>
      <c r="G13" s="3" t="inlineStr">
        <is>
          <t>Simplify</t>
        </is>
      </c>
      <c r="H13" s="2" t="inlineStr">
        <is>
          <t>Chicago, IL</t>
        </is>
      </c>
      <c r="I13" s="5">
        <f>HYPERLINK("https://littelfuse.wd1.myworkdayjobs.com/Littelfuse-Careers/job/Chicago/AI-Engineering-Intern_JR-111239-1","↗")</f>
        <v/>
      </c>
      <c r="J13" s="3" t="inlineStr">
        <is>
          <t>No</t>
        </is>
      </c>
      <c r="K13" s="3" t="inlineStr"/>
      <c r="L13" s="2" t="inlineStr"/>
      <c r="M13" s="2" t="inlineStr"/>
      <c r="N13" s="2" t="inlineStr"/>
      <c r="O13" s="2" t="inlineStr"/>
    </row>
    <row r="14" ht="16" customHeight="1">
      <c r="A14" s="2" t="inlineStr">
        <is>
          <t>Software Engineer Intern - Data Products</t>
        </is>
      </c>
      <c r="B14" s="2" t="inlineStr">
        <is>
          <t>The Walt Disney Company</t>
        </is>
      </c>
      <c r="C14" s="3" t="inlineStr">
        <is>
          <t>2026-03-20</t>
        </is>
      </c>
      <c r="D14" s="3" t="n">
        <v>0</v>
      </c>
      <c r="E14" s="3" t="inlineStr">
        <is>
          <t>CA</t>
        </is>
      </c>
      <c r="F14" s="4" t="n">
        <v>7</v>
      </c>
      <c r="G14" s="3" t="inlineStr">
        <is>
          <t>Simplify</t>
        </is>
      </c>
      <c r="H14" s="2" t="inlineStr">
        <is>
          <t>Burbank, CA</t>
        </is>
      </c>
      <c r="I14" s="5">
        <f>HYPERLINK("https://disney.wd5.myworkdayjobs.com/disneycareer/job/Burbank-CA-USA/Software-Engineering-Intern--Data-Products--Summer-2026_10143613-2","↗")</f>
        <v/>
      </c>
      <c r="J14" s="3" t="inlineStr">
        <is>
          <t>No</t>
        </is>
      </c>
      <c r="K14" s="3" t="inlineStr"/>
      <c r="L14" s="2" t="inlineStr"/>
      <c r="M14" s="2" t="inlineStr"/>
      <c r="N14" s="2" t="inlineStr"/>
      <c r="O14" s="2" t="inlineStr"/>
    </row>
    <row r="15" ht="16" customHeight="1">
      <c r="A15" s="2" t="inlineStr">
        <is>
          <t>Intern – Engineering ADAS Features</t>
        </is>
      </c>
      <c r="B15" s="2" t="inlineStr">
        <is>
          <t>Magna</t>
        </is>
      </c>
      <c r="C15" s="3" t="inlineStr">
        <is>
          <t>2026-03-20</t>
        </is>
      </c>
      <c r="D15" s="3" t="n">
        <v>0</v>
      </c>
      <c r="E15" s="3" t="inlineStr">
        <is>
          <t>MI</t>
        </is>
      </c>
      <c r="F15" s="4" t="n">
        <v>4</v>
      </c>
      <c r="G15" s="3" t="inlineStr">
        <is>
          <t>Simplify</t>
        </is>
      </c>
      <c r="H15" s="2" t="inlineStr">
        <is>
          <t>Auburn Hills, MI</t>
        </is>
      </c>
      <c r="I15" s="5">
        <f>HYPERLINK("https://wd3.myworkdaysite.com/recruiting/magna/Magna/job/Auburn-Hills-Michigan-US/Intern---Engineering_R00235439","↗")</f>
        <v/>
      </c>
      <c r="J15" s="3" t="inlineStr">
        <is>
          <t>No</t>
        </is>
      </c>
      <c r="K15" s="3" t="inlineStr"/>
      <c r="L15" s="2" t="inlineStr"/>
      <c r="M15" s="2" t="inlineStr"/>
      <c r="N15" s="2" t="inlineStr"/>
      <c r="O15" s="2" t="inlineStr"/>
    </row>
    <row r="16" ht="16" customHeight="1">
      <c r="A16" s="2" t="inlineStr">
        <is>
          <t>Intern Software Engineer - Integration and Test</t>
        </is>
      </c>
      <c r="B16" s="2" t="inlineStr">
        <is>
          <t>Magna</t>
        </is>
      </c>
      <c r="C16" s="3" t="inlineStr">
        <is>
          <t>2026-03-20</t>
        </is>
      </c>
      <c r="D16" s="3" t="n">
        <v>0</v>
      </c>
      <c r="E16" s="3" t="inlineStr">
        <is>
          <t>MI</t>
        </is>
      </c>
      <c r="F16" s="4" t="n">
        <v>7</v>
      </c>
      <c r="G16" s="3" t="inlineStr">
        <is>
          <t>Simplify</t>
        </is>
      </c>
      <c r="H16" s="2" t="inlineStr">
        <is>
          <t>Southfield, MI</t>
        </is>
      </c>
      <c r="I16" s="5">
        <f>HYPERLINK("https://wd3.myworkdaysite.com/recruiting/magna/Magna/job/Southfield-Michigan-US/Intern---Engineering_R00235405","↗")</f>
        <v/>
      </c>
      <c r="J16" s="3" t="inlineStr">
        <is>
          <t>No</t>
        </is>
      </c>
      <c r="K16" s="3" t="inlineStr"/>
      <c r="L16" s="2" t="inlineStr"/>
      <c r="M16" s="2" t="inlineStr"/>
      <c r="N16" s="2" t="inlineStr"/>
      <c r="O16" s="2" t="inlineStr"/>
    </row>
    <row r="17" ht="16" customHeight="1">
      <c r="A17" s="2" t="inlineStr">
        <is>
          <t>Intern Engineering ADAS Perception Features</t>
        </is>
      </c>
      <c r="B17" s="2" t="inlineStr">
        <is>
          <t>Magna</t>
        </is>
      </c>
      <c r="C17" s="3" t="inlineStr">
        <is>
          <t>2026-03-20</t>
        </is>
      </c>
      <c r="D17" s="3" t="n">
        <v>0</v>
      </c>
      <c r="E17" s="3" t="inlineStr">
        <is>
          <t>MI</t>
        </is>
      </c>
      <c r="F17" s="4" t="n">
        <v>4</v>
      </c>
      <c r="G17" s="3" t="inlineStr">
        <is>
          <t>Simplify</t>
        </is>
      </c>
      <c r="H17" s="2" t="inlineStr">
        <is>
          <t>Auburn Hills, MI</t>
        </is>
      </c>
      <c r="I17" s="5">
        <f>HYPERLINK("https://wd3.myworkdaysite.com/recruiting/magna/Magna/job/Auburn-Hills-Michigan-US/Intern---Engineering_R00235424","↗")</f>
        <v/>
      </c>
      <c r="J17" s="3" t="inlineStr">
        <is>
          <t>No</t>
        </is>
      </c>
      <c r="K17" s="3" t="inlineStr"/>
      <c r="L17" s="2" t="inlineStr"/>
      <c r="M17" s="2" t="inlineStr"/>
      <c r="N17" s="2" t="inlineStr"/>
      <c r="O17" s="2" t="inlineStr"/>
    </row>
    <row r="18" ht="16" customHeight="1">
      <c r="A18" s="8" t="inlineStr">
        <is>
          <t>Machine Learning Product Intern</t>
        </is>
      </c>
      <c r="B18" s="8" t="inlineStr">
        <is>
          <t>Pacvue</t>
        </is>
      </c>
      <c r="C18" s="9" t="inlineStr">
        <is>
          <t>2026-03-20</t>
        </is>
      </c>
      <c r="D18" s="9" t="n">
        <v>0</v>
      </c>
      <c r="E18" s="9" t="inlineStr">
        <is>
          <t>Remote</t>
        </is>
      </c>
      <c r="F18" s="11" t="n">
        <v>4</v>
      </c>
      <c r="G18" s="9" t="inlineStr">
        <is>
          <t>Simplify</t>
        </is>
      </c>
      <c r="H18" s="8" t="inlineStr">
        <is>
          <t>Remote in USA</t>
        </is>
      </c>
      <c r="I18" s="10">
        <f>HYPERLINK("https://job-boards.greenhouse.io/pacvue/jobs/5833336004","↗")</f>
        <v/>
      </c>
      <c r="J18" s="9" t="inlineStr">
        <is>
          <t>No</t>
        </is>
      </c>
      <c r="K18" s="9" t="inlineStr"/>
      <c r="L18" s="8" t="inlineStr"/>
      <c r="M18" s="8" t="inlineStr"/>
      <c r="N18" s="8" t="inlineStr"/>
      <c r="O18" s="8" t="inlineStr"/>
    </row>
    <row r="19" ht="16" customHeight="1">
      <c r="A19" s="8" t="inlineStr">
        <is>
          <t>Software Engineer Intern</t>
        </is>
      </c>
      <c r="B19" s="8" t="inlineStr">
        <is>
          <t>Experian</t>
        </is>
      </c>
      <c r="C19" s="9" t="inlineStr">
        <is>
          <t>2026-03-20</t>
        </is>
      </c>
      <c r="D19" s="9" t="n">
        <v>0</v>
      </c>
      <c r="E19" s="9" t="inlineStr">
        <is>
          <t>Remote</t>
        </is>
      </c>
      <c r="F19" s="11" t="n">
        <v>7</v>
      </c>
      <c r="G19" s="9" t="inlineStr">
        <is>
          <t>Simplify</t>
        </is>
      </c>
      <c r="H19" s="8" t="inlineStr">
        <is>
          <t>Remote in USA</t>
        </is>
      </c>
      <c r="I19" s="10">
        <f>HYPERLINK("https://jobs.smartrecruiters.com/Experian/744000115927684","↗")</f>
        <v/>
      </c>
      <c r="J19" s="9" t="inlineStr">
        <is>
          <t>No</t>
        </is>
      </c>
      <c r="K19" s="9" t="inlineStr"/>
      <c r="L19" s="8" t="inlineStr"/>
      <c r="M19" s="8" t="inlineStr"/>
      <c r="N19" s="8" t="inlineStr"/>
      <c r="O19" s="8" t="inlineStr"/>
    </row>
    <row r="20" ht="16" customHeight="1">
      <c r="A20" s="2" t="inlineStr">
        <is>
          <t>AI/ML Researcher Intern</t>
        </is>
      </c>
      <c r="B20" s="2" t="inlineStr">
        <is>
          <t>Analog Devices</t>
        </is>
      </c>
      <c r="C20" s="3" t="inlineStr">
        <is>
          <t>2026-03-20</t>
        </is>
      </c>
      <c r="D20" s="3" t="n">
        <v>0</v>
      </c>
      <c r="E20" s="3" t="inlineStr">
        <is>
          <t>CA</t>
        </is>
      </c>
      <c r="F20" s="7" t="n">
        <v>10</v>
      </c>
      <c r="G20" s="3" t="inlineStr">
        <is>
          <t>Simplify</t>
        </is>
      </c>
      <c r="H20" s="2" t="inlineStr">
        <is>
          <t>Boston, MA, San Jose, CA</t>
        </is>
      </c>
      <c r="I20" s="5">
        <f>HYPERLINK("https://analogdevices.wd1.myworkdayjobs.com/External/job/US-MA-Boston/AI-ML-Researcher-Intern_R257656","↗")</f>
        <v/>
      </c>
      <c r="J20" s="3" t="inlineStr">
        <is>
          <t>No</t>
        </is>
      </c>
      <c r="K20" s="3" t="inlineStr"/>
      <c r="L20" s="2" t="inlineStr"/>
      <c r="M20" s="2" t="inlineStr"/>
      <c r="N20" s="2" t="inlineStr"/>
      <c r="O20" s="2" t="inlineStr"/>
    </row>
    <row r="21" ht="16" customHeight="1">
      <c r="A21" s="2" t="inlineStr">
        <is>
          <t>Software Engineer Co-Op</t>
        </is>
      </c>
      <c r="B21" s="2" t="inlineStr">
        <is>
          <t>Rolls-Royce Motorcars</t>
        </is>
      </c>
      <c r="C21" s="3" t="inlineStr">
        <is>
          <t>2026-03-20</t>
        </is>
      </c>
      <c r="D21" s="3" t="n">
        <v>0</v>
      </c>
      <c r="E21" s="3" t="inlineStr"/>
      <c r="F21" s="4" t="n">
        <v>7</v>
      </c>
      <c r="G21" s="3" t="inlineStr">
        <is>
          <t>Simplify</t>
        </is>
      </c>
      <c r="H21" s="2" t="inlineStr">
        <is>
          <t>Spartanburg, SC</t>
        </is>
      </c>
      <c r="I21" s="5">
        <f>HYPERLINK("https://jobs.bmwgroup.com/job/Spartanburg-Software-Engineer-Co-Op-(Fall-2026)-Sout/1376199233/?ats=successfactors","↗")</f>
        <v/>
      </c>
      <c r="J21" s="3" t="inlineStr">
        <is>
          <t>No</t>
        </is>
      </c>
      <c r="K21" s="3" t="inlineStr"/>
      <c r="L21" s="2" t="inlineStr"/>
      <c r="M21" s="2" t="inlineStr"/>
      <c r="N21" s="2" t="inlineStr"/>
      <c r="O21" s="2" t="inlineStr"/>
    </row>
    <row r="22" ht="16" customHeight="1">
      <c r="A22" s="2" t="inlineStr">
        <is>
          <t>Software Developer Intern</t>
        </is>
      </c>
      <c r="B22" s="2" t="inlineStr">
        <is>
          <t>Redhorse</t>
        </is>
      </c>
      <c r="C22" s="3" t="inlineStr">
        <is>
          <t>2026-03-20</t>
        </is>
      </c>
      <c r="D22" s="3" t="n">
        <v>0</v>
      </c>
      <c r="E22" s="3" t="inlineStr">
        <is>
          <t>VA</t>
        </is>
      </c>
      <c r="F22" s="4" t="n">
        <v>7</v>
      </c>
      <c r="G22" s="3" t="inlineStr">
        <is>
          <t>Simplify</t>
        </is>
      </c>
      <c r="H22" s="2" t="inlineStr">
        <is>
          <t>Gainesville, VA</t>
        </is>
      </c>
      <c r="I22" s="5">
        <f>HYPERLINK("https://jobs.lever.co/redhorsecorp/bc3758c8-0413-4888-b367-10f1bad64692/apply","↗")</f>
        <v/>
      </c>
      <c r="J22" s="3" t="inlineStr">
        <is>
          <t>No</t>
        </is>
      </c>
      <c r="K22" s="3" t="inlineStr"/>
      <c r="L22" s="2" t="inlineStr"/>
      <c r="M22" s="2" t="inlineStr"/>
      <c r="N22" s="2" t="inlineStr"/>
      <c r="O22" s="2" t="inlineStr"/>
    </row>
    <row r="23" ht="16" customHeight="1">
      <c r="A23" s="2" t="inlineStr">
        <is>
          <t>Data Analyst Intern</t>
        </is>
      </c>
      <c r="B23" s="2" t="inlineStr">
        <is>
          <t>Double Good</t>
        </is>
      </c>
      <c r="C23" s="3" t="inlineStr">
        <is>
          <t>2026-03-20</t>
        </is>
      </c>
      <c r="D23" s="3" t="n">
        <v>0</v>
      </c>
      <c r="E23" s="3" t="inlineStr">
        <is>
          <t>IL</t>
        </is>
      </c>
      <c r="F23" s="4" t="n">
        <v>4</v>
      </c>
      <c r="G23" s="3" t="inlineStr">
        <is>
          <t>Simplify</t>
        </is>
      </c>
      <c r="H23" s="2" t="inlineStr">
        <is>
          <t>Chicago, IL</t>
        </is>
      </c>
      <c r="I23" s="5">
        <f>HYPERLINK("https://job-boards.greenhouse.io/doublegood/jobs/5832697004","↗")</f>
        <v/>
      </c>
      <c r="J23" s="3" t="inlineStr">
        <is>
          <t>No</t>
        </is>
      </c>
      <c r="K23" s="3" t="inlineStr"/>
      <c r="L23" s="2" t="inlineStr"/>
      <c r="M23" s="2" t="inlineStr"/>
      <c r="N23" s="2" t="inlineStr"/>
      <c r="O23" s="2" t="inlineStr"/>
    </row>
    <row r="24" ht="16" customHeight="1">
      <c r="A24" s="2" t="inlineStr">
        <is>
          <t>Software Engineer Intern</t>
        </is>
      </c>
      <c r="B24" s="2" t="inlineStr">
        <is>
          <t>Age of Learning</t>
        </is>
      </c>
      <c r="C24" s="3" t="inlineStr">
        <is>
          <t>2026-03-20</t>
        </is>
      </c>
      <c r="D24" s="3" t="n">
        <v>0</v>
      </c>
      <c r="E24" s="3" t="inlineStr">
        <is>
          <t>CA</t>
        </is>
      </c>
      <c r="F24" s="4" t="n">
        <v>7</v>
      </c>
      <c r="G24" s="3" t="inlineStr">
        <is>
          <t>Simplify</t>
        </is>
      </c>
      <c r="H24" s="2" t="inlineStr">
        <is>
          <t>Glendale, CA</t>
        </is>
      </c>
      <c r="I24" s="5">
        <f>HYPERLINK("https://jobs.lever.co/aofl/4b91076d-8937-4dbc-a502-a7d6a66e2e19/apply","↗")</f>
        <v/>
      </c>
      <c r="J24" s="3" t="inlineStr">
        <is>
          <t>No</t>
        </is>
      </c>
      <c r="K24" s="3" t="inlineStr"/>
      <c r="L24" s="2" t="inlineStr"/>
      <c r="M24" s="2" t="inlineStr"/>
      <c r="N24" s="2" t="inlineStr"/>
      <c r="O24" s="2" t="inlineStr"/>
    </row>
    <row r="25" ht="16" customHeight="1">
      <c r="A25" s="2" t="inlineStr">
        <is>
          <t>AI &amp; ML Engineering Intern</t>
        </is>
      </c>
      <c r="B25" s="2" t="inlineStr">
        <is>
          <t>Zello</t>
        </is>
      </c>
      <c r="C25" s="3" t="inlineStr">
        <is>
          <t>2026-03-20</t>
        </is>
      </c>
      <c r="D25" s="3" t="n">
        <v>0</v>
      </c>
      <c r="E25" s="3" t="inlineStr">
        <is>
          <t>TX</t>
        </is>
      </c>
      <c r="F25" s="7" t="n">
        <v>8</v>
      </c>
      <c r="G25" s="3" t="inlineStr">
        <is>
          <t>Simplify</t>
        </is>
      </c>
      <c r="H25" s="2" t="inlineStr">
        <is>
          <t>Austin, TX</t>
        </is>
      </c>
      <c r="I25" s="5">
        <f>HYPERLINK("https://jobs.ashbyhq.com/Zello/c7e55b74-5235-4f5b-ad04-8fd49ee64293/application","↗")</f>
        <v/>
      </c>
      <c r="J25" s="3" t="inlineStr">
        <is>
          <t>No</t>
        </is>
      </c>
      <c r="K25" s="3" t="inlineStr"/>
      <c r="L25" s="2" t="inlineStr"/>
      <c r="M25" s="2" t="inlineStr"/>
      <c r="N25" s="2" t="inlineStr"/>
      <c r="O25" s="2" t="inlineStr"/>
    </row>
    <row r="26" ht="16" customHeight="1">
      <c r="A26" s="8" t="inlineStr">
        <is>
          <t>Full-Stack AI Developer Intern</t>
        </is>
      </c>
      <c r="B26" s="8" t="inlineStr">
        <is>
          <t>Revvity</t>
        </is>
      </c>
      <c r="C26" s="9" t="inlineStr">
        <is>
          <t>2026-03-20</t>
        </is>
      </c>
      <c r="D26" s="9" t="n">
        <v>0</v>
      </c>
      <c r="E26" s="9" t="inlineStr">
        <is>
          <t>Remote</t>
        </is>
      </c>
      <c r="F26" s="11" t="n">
        <v>6</v>
      </c>
      <c r="G26" s="9" t="inlineStr">
        <is>
          <t>Simplify</t>
        </is>
      </c>
      <c r="H26" s="8" t="inlineStr">
        <is>
          <t>Remote in Canada</t>
        </is>
      </c>
      <c r="I26" s="10">
        <f>HYPERLINK("https://revvity.wd103.myworkdayjobs.com/External/job/CAD-Remote--ON/Full-Stack-AI-Developer-Intern_JR-043680","↗")</f>
        <v/>
      </c>
      <c r="J26" s="9" t="inlineStr">
        <is>
          <t>No</t>
        </is>
      </c>
      <c r="K26" s="9" t="inlineStr"/>
      <c r="L26" s="8" t="inlineStr"/>
      <c r="M26" s="8" t="inlineStr"/>
      <c r="N26" s="8" t="inlineStr"/>
      <c r="O26" s="8" t="inlineStr"/>
    </row>
    <row r="27" ht="16" customHeight="1">
      <c r="A27" s="8" t="inlineStr">
        <is>
          <t>Full-Stack AI Developer Intern</t>
        </is>
      </c>
      <c r="B27" s="8" t="inlineStr">
        <is>
          <t>Revvity</t>
        </is>
      </c>
      <c r="C27" s="9" t="inlineStr">
        <is>
          <t>2026-03-20</t>
        </is>
      </c>
      <c r="D27" s="9" t="n">
        <v>0</v>
      </c>
      <c r="E27" s="9" t="inlineStr">
        <is>
          <t>Remote</t>
        </is>
      </c>
      <c r="F27" s="11" t="n">
        <v>6</v>
      </c>
      <c r="G27" s="9" t="inlineStr">
        <is>
          <t>Simplify</t>
        </is>
      </c>
      <c r="H27" s="8" t="inlineStr">
        <is>
          <t>Remote in Canada</t>
        </is>
      </c>
      <c r="I27" s="10">
        <f>HYPERLINK("https://revvity.wd103.myworkdayjobs.com/External/job/CAD-Remote--ON/Full-Stack-AI-Developer-Intern_JR-043678","↗")</f>
        <v/>
      </c>
      <c r="J27" s="9" t="inlineStr">
        <is>
          <t>No</t>
        </is>
      </c>
      <c r="K27" s="9" t="inlineStr"/>
      <c r="L27" s="8" t="inlineStr"/>
      <c r="M27" s="8" t="inlineStr"/>
      <c r="N27" s="8" t="inlineStr"/>
      <c r="O27" s="8" t="inlineStr"/>
    </row>
    <row r="28" ht="16" customHeight="1">
      <c r="A28" s="8" t="inlineStr">
        <is>
          <t>Full-Stack AI Developer Intern</t>
        </is>
      </c>
      <c r="B28" s="8" t="inlineStr">
        <is>
          <t>Revvity</t>
        </is>
      </c>
      <c r="C28" s="9" t="inlineStr">
        <is>
          <t>2026-03-20</t>
        </is>
      </c>
      <c r="D28" s="9" t="n">
        <v>0</v>
      </c>
      <c r="E28" s="9" t="inlineStr">
        <is>
          <t>Remote</t>
        </is>
      </c>
      <c r="F28" s="11" t="n">
        <v>6</v>
      </c>
      <c r="G28" s="9" t="inlineStr">
        <is>
          <t>Simplify</t>
        </is>
      </c>
      <c r="H28" s="8" t="inlineStr">
        <is>
          <t>Remote in Canada</t>
        </is>
      </c>
      <c r="I28" s="10">
        <f>HYPERLINK("https://revvity.wd103.myworkdayjobs.com/External/job/CAD-Remote--ON/Full-Stack-AI-Developer-Intern_JR-043681-1","↗")</f>
        <v/>
      </c>
      <c r="J28" s="9" t="inlineStr">
        <is>
          <t>No</t>
        </is>
      </c>
      <c r="K28" s="9" t="inlineStr"/>
      <c r="L28" s="8" t="inlineStr"/>
      <c r="M28" s="8" t="inlineStr"/>
      <c r="N28" s="8" t="inlineStr"/>
      <c r="O28" s="8" t="inlineStr"/>
    </row>
    <row r="29" ht="16" customHeight="1">
      <c r="A29" s="12" t="inlineStr">
        <is>
          <t>Intern - Data &amp; Business Intelligence</t>
        </is>
      </c>
      <c r="B29" s="12" t="inlineStr">
        <is>
          <t>Impiricus</t>
        </is>
      </c>
      <c r="C29" s="13" t="inlineStr">
        <is>
          <t>2026-03-20</t>
        </is>
      </c>
      <c r="D29" s="13" t="n">
        <v>0</v>
      </c>
      <c r="E29" s="13" t="inlineStr">
        <is>
          <t>NY</t>
        </is>
      </c>
      <c r="F29" s="14" t="n">
        <v>5</v>
      </c>
      <c r="G29" s="13" t="inlineStr">
        <is>
          <t>Simplify</t>
        </is>
      </c>
      <c r="H29" s="12" t="inlineStr">
        <is>
          <t>NYC, Atlanta, GA, United States</t>
        </is>
      </c>
      <c r="I29" s="15">
        <f>HYPERLINK("https://job-boards.greenhouse.io/impiricus/jobs/5160479008","↗")</f>
        <v/>
      </c>
      <c r="J29" s="13" t="inlineStr">
        <is>
          <t>No</t>
        </is>
      </c>
      <c r="K29" s="13" t="inlineStr"/>
      <c r="L29" s="12" t="inlineStr"/>
      <c r="M29" s="12" t="inlineStr"/>
      <c r="N29" s="12" t="inlineStr"/>
      <c r="O29" s="12" t="inlineStr"/>
    </row>
    <row r="30" ht="16" customHeight="1">
      <c r="A30" s="8" t="inlineStr">
        <is>
          <t>Software Engineer Intern - Full Stack</t>
        </is>
      </c>
      <c r="B30" s="8" t="inlineStr">
        <is>
          <t>Impiricus</t>
        </is>
      </c>
      <c r="C30" s="9" t="inlineStr">
        <is>
          <t>2026-03-20</t>
        </is>
      </c>
      <c r="D30" s="9" t="n">
        <v>0</v>
      </c>
      <c r="E30" s="9" t="inlineStr">
        <is>
          <t>Remote</t>
        </is>
      </c>
      <c r="F30" s="7" t="n">
        <v>11</v>
      </c>
      <c r="G30" s="9" t="inlineStr">
        <is>
          <t>Simplify</t>
        </is>
      </c>
      <c r="H30" s="8" t="inlineStr">
        <is>
          <t>Remote in USA, NYC, Atlanta, GA</t>
        </is>
      </c>
      <c r="I30" s="10">
        <f>HYPERLINK("https://job-boards.greenhouse.io/impiricus/jobs/5160382008","↗")</f>
        <v/>
      </c>
      <c r="J30" s="9" t="inlineStr">
        <is>
          <t>No</t>
        </is>
      </c>
      <c r="K30" s="9" t="inlineStr"/>
      <c r="L30" s="8" t="inlineStr"/>
      <c r="M30" s="8" t="inlineStr"/>
      <c r="N30" s="8" t="inlineStr"/>
      <c r="O30" s="8" t="inlineStr"/>
    </row>
    <row r="31" ht="16" customHeight="1">
      <c r="A31" s="2" t="inlineStr">
        <is>
          <t>Data Engineering Intern</t>
        </is>
      </c>
      <c r="B31" s="2" t="inlineStr">
        <is>
          <t>Simmons Bank</t>
        </is>
      </c>
      <c r="C31" s="3" t="inlineStr">
        <is>
          <t>2026-03-20</t>
        </is>
      </c>
      <c r="D31" s="3" t="n">
        <v>0</v>
      </c>
      <c r="E31" s="3" t="inlineStr">
        <is>
          <t>TX</t>
        </is>
      </c>
      <c r="F31" s="4" t="n">
        <v>4</v>
      </c>
      <c r="G31" s="3" t="inlineStr">
        <is>
          <t>Simplify</t>
        </is>
      </c>
      <c r="H31" s="2" t="inlineStr">
        <is>
          <t>Fayetteville, AR, Dallas, TX, Little Rock, AR</t>
        </is>
      </c>
      <c r="I31" s="5">
        <f>HYPERLINK("https://simmonsbank.wd5.myworkdayjobs.com/SimmonsCareers/job/Little-Rock-AR/Power-BI-Intern_R114046","↗")</f>
        <v/>
      </c>
      <c r="J31" s="3" t="inlineStr">
        <is>
          <t>No</t>
        </is>
      </c>
      <c r="K31" s="3" t="inlineStr"/>
      <c r="L31" s="2" t="inlineStr"/>
      <c r="M31" s="2" t="inlineStr"/>
      <c r="N31" s="2" t="inlineStr"/>
      <c r="O31" s="2" t="inlineStr"/>
    </row>
    <row r="32" ht="16" customHeight="1">
      <c r="A32" s="2" t="inlineStr">
        <is>
          <t>Space Systems Engineering Intern</t>
        </is>
      </c>
      <c r="B32" s="2" t="inlineStr">
        <is>
          <t xml:space="preserve">LMI </t>
        </is>
      </c>
      <c r="C32" s="3" t="inlineStr">
        <is>
          <t>2026-03-20</t>
        </is>
      </c>
      <c r="D32" s="3" t="n">
        <v>0</v>
      </c>
      <c r="E32" s="3" t="inlineStr">
        <is>
          <t>CO</t>
        </is>
      </c>
      <c r="F32" s="4" t="n">
        <v>6</v>
      </c>
      <c r="G32" s="3" t="inlineStr">
        <is>
          <t>Simplify</t>
        </is>
      </c>
      <c r="H32" s="2" t="inlineStr">
        <is>
          <t>Colorado Springs, CO</t>
        </is>
      </c>
      <c r="I32" s="5">
        <f>HYPERLINK("https://careers-lmi.icims.com/jobs/13505/job?mobile=true&amp;needsRedirect=false","↗")</f>
        <v/>
      </c>
      <c r="J32" s="3" t="inlineStr">
        <is>
          <t>No</t>
        </is>
      </c>
      <c r="K32" s="3" t="inlineStr"/>
      <c r="L32" s="2" t="inlineStr"/>
      <c r="M32" s="2" t="inlineStr"/>
      <c r="N32" s="2" t="inlineStr"/>
      <c r="O32" s="2" t="inlineStr"/>
    </row>
    <row r="33" ht="16" customHeight="1">
      <c r="A33" s="2" t="inlineStr">
        <is>
          <t>Software Engineering Intern</t>
        </is>
      </c>
      <c r="B33" s="2" t="inlineStr">
        <is>
          <t>Cohesity</t>
        </is>
      </c>
      <c r="C33" s="3" t="inlineStr">
        <is>
          <t>2026-03-20</t>
        </is>
      </c>
      <c r="D33" s="3" t="n">
        <v>0</v>
      </c>
      <c r="E33" s="3" t="inlineStr">
        <is>
          <t>CA</t>
        </is>
      </c>
      <c r="F33" s="7" t="n">
        <v>11</v>
      </c>
      <c r="G33" s="3" t="inlineStr">
        <is>
          <t>Simplify</t>
        </is>
      </c>
      <c r="H33" s="2" t="inlineStr">
        <is>
          <t>Santa Clara, CA</t>
        </is>
      </c>
      <c r="I33" s="5">
        <f>HYPERLINK("https://cohesity.wd5.myworkdayjobs.com/Cohesity_Careers/job/Santa-Clara-CA---USA-Office/Software-Engineering-Intern--Summer-2026_R01589-1","↗")</f>
        <v/>
      </c>
      <c r="J33" s="3" t="inlineStr">
        <is>
          <t>No</t>
        </is>
      </c>
      <c r="K33" s="3" t="inlineStr"/>
      <c r="L33" s="2" t="inlineStr"/>
      <c r="M33" s="2" t="inlineStr"/>
      <c r="N33" s="2" t="inlineStr"/>
      <c r="O33" s="2" t="inlineStr"/>
    </row>
    <row r="34" ht="16" customHeight="1">
      <c r="A34" s="2" t="inlineStr">
        <is>
          <t>Intern Computer Engineer - AI/ML/LLM</t>
        </is>
      </c>
      <c r="B34" s="2" t="inlineStr">
        <is>
          <t>Micron Technology</t>
        </is>
      </c>
      <c r="C34" s="3" t="inlineStr">
        <is>
          <t>2026-03-19</t>
        </is>
      </c>
      <c r="D34" s="3" t="n">
        <v>1</v>
      </c>
      <c r="E34" s="3" t="inlineStr"/>
      <c r="F34" s="6" t="n">
        <v>14</v>
      </c>
      <c r="G34" s="3" t="inlineStr">
        <is>
          <t>Simplify</t>
        </is>
      </c>
      <c r="H34" s="2" t="inlineStr">
        <is>
          <t>Boise, ID</t>
        </is>
      </c>
      <c r="I34" s="5">
        <f>HYPERLINK("https://micron.wd1.myworkdayjobs.com/External/job/Boise-ID---Main-Site/Intern---Computer-Engineer--AI-ML-LLM_JR95332","↗")</f>
        <v/>
      </c>
      <c r="J34" s="3" t="inlineStr">
        <is>
          <t>No</t>
        </is>
      </c>
      <c r="K34" s="3" t="inlineStr"/>
      <c r="L34" s="2" t="inlineStr"/>
      <c r="M34" s="2" t="inlineStr"/>
      <c r="N34" s="2" t="inlineStr"/>
      <c r="O34" s="2" t="inlineStr"/>
    </row>
    <row r="35" ht="16" customHeight="1">
      <c r="A35" s="2" t="inlineStr">
        <is>
          <t>Software Engineering Intern in Test</t>
        </is>
      </c>
      <c r="B35" s="2" t="inlineStr">
        <is>
          <t>Nasuni</t>
        </is>
      </c>
      <c r="C35" s="3" t="inlineStr">
        <is>
          <t>2026-03-19</t>
        </is>
      </c>
      <c r="D35" s="3" t="n">
        <v>1</v>
      </c>
      <c r="E35" s="3" t="inlineStr">
        <is>
          <t>MA</t>
        </is>
      </c>
      <c r="F35" s="7" t="n">
        <v>11</v>
      </c>
      <c r="G35" s="3" t="inlineStr">
        <is>
          <t>Simplify</t>
        </is>
      </c>
      <c r="H35" s="2" t="inlineStr">
        <is>
          <t>Boston, MA, Marlborough, MA</t>
        </is>
      </c>
      <c r="I35" s="5">
        <f>HYPERLINK("https://www.nasuni.com/about-us/careers/open-positions/?gh_jid=5158479008","↗")</f>
        <v/>
      </c>
      <c r="J35" s="3" t="inlineStr">
        <is>
          <t>No</t>
        </is>
      </c>
      <c r="K35" s="3" t="inlineStr"/>
      <c r="L35" s="2" t="inlineStr"/>
      <c r="M35" s="2" t="inlineStr"/>
      <c r="N35" s="2" t="inlineStr"/>
      <c r="O35" s="2" t="inlineStr"/>
    </row>
    <row r="36" ht="16" customHeight="1">
      <c r="A36" s="2" t="inlineStr">
        <is>
          <t>Data Analyst Intern</t>
        </is>
      </c>
      <c r="B36" s="2" t="inlineStr">
        <is>
          <t>Howden</t>
        </is>
      </c>
      <c r="C36" s="3" t="inlineStr">
        <is>
          <t>2026-03-19</t>
        </is>
      </c>
      <c r="D36" s="3" t="n">
        <v>1</v>
      </c>
      <c r="E36" s="3" t="inlineStr">
        <is>
          <t>CA</t>
        </is>
      </c>
      <c r="F36" s="4" t="n">
        <v>4</v>
      </c>
      <c r="G36" s="3" t="inlineStr">
        <is>
          <t>Simplify</t>
        </is>
      </c>
      <c r="H36" s="2" t="inlineStr">
        <is>
          <t>Dallas, TX, Chicago, IL, San Diego, CA</t>
        </is>
      </c>
      <c r="I36" s="5">
        <f>HYPERLINK("https://hyperiongrp.wd3.myworkdayjobs.com/Hyperion_External/job/DUAL---Dallas-Office/Data-Analyst-Intern_R0016629","↗")</f>
        <v/>
      </c>
      <c r="J36" s="3" t="inlineStr">
        <is>
          <t>No</t>
        </is>
      </c>
      <c r="K36" s="3" t="inlineStr"/>
      <c r="L36" s="2" t="inlineStr"/>
      <c r="M36" s="2" t="inlineStr"/>
      <c r="N36" s="2" t="inlineStr"/>
      <c r="O36" s="2" t="inlineStr"/>
    </row>
    <row r="37" ht="16" customHeight="1">
      <c r="A37" s="2" t="inlineStr">
        <is>
          <t>Data Engineering Intern</t>
        </is>
      </c>
      <c r="B37" s="2" t="inlineStr">
        <is>
          <t>Lumentum</t>
        </is>
      </c>
      <c r="C37" s="3" t="inlineStr">
        <is>
          <t>2026-03-19</t>
        </is>
      </c>
      <c r="D37" s="3" t="n">
        <v>1</v>
      </c>
      <c r="E37" s="3" t="inlineStr">
        <is>
          <t>CA</t>
        </is>
      </c>
      <c r="F37" s="4" t="n">
        <v>4</v>
      </c>
      <c r="G37" s="3" t="inlineStr">
        <is>
          <t>Simplify</t>
        </is>
      </c>
      <c r="H37" s="2" t="inlineStr">
        <is>
          <t>San Jose, CA</t>
        </is>
      </c>
      <c r="I37" s="5">
        <f>HYPERLINK("https://lumentum.wd5.myworkdayjobs.com/LITE/job/USA---CA---San-Jose-Ridder/Data-Engineering-Intern_2026318","↗")</f>
        <v/>
      </c>
      <c r="J37" s="3" t="inlineStr">
        <is>
          <t>No</t>
        </is>
      </c>
      <c r="K37" s="3" t="inlineStr"/>
      <c r="L37" s="2" t="inlineStr"/>
      <c r="M37" s="2" t="inlineStr"/>
      <c r="N37" s="2" t="inlineStr"/>
      <c r="O37" s="2" t="inlineStr"/>
    </row>
    <row r="38" ht="16" customHeight="1">
      <c r="A38" s="2" t="inlineStr">
        <is>
          <t>Data Scientist/Artificial Intelligence Engineer Associate Intern</t>
        </is>
      </c>
      <c r="B38" s="2" t="inlineStr">
        <is>
          <t>General Dynamics Information Technology</t>
        </is>
      </c>
      <c r="C38" s="3" t="inlineStr">
        <is>
          <t>2026-03-19</t>
        </is>
      </c>
      <c r="D38" s="3" t="n">
        <v>1</v>
      </c>
      <c r="E38" s="3" t="inlineStr">
        <is>
          <t>VA</t>
        </is>
      </c>
      <c r="F38" s="7" t="n">
        <v>8</v>
      </c>
      <c r="G38" s="3" t="inlineStr">
        <is>
          <t>Simplify</t>
        </is>
      </c>
      <c r="H38" s="2" t="inlineStr">
        <is>
          <t>Springfield, VA</t>
        </is>
      </c>
      <c r="I38" s="5">
        <f>HYPERLINK("https://gdit.wd5.myworkdayjobs.com/gdit_earlytalent/job/USA-VA-Springfield/Data-Scientist-Artificial-Intelligence-Engineer-Associate-Intern_RQ216888-1","↗")</f>
        <v/>
      </c>
      <c r="J38" s="3" t="inlineStr">
        <is>
          <t>No</t>
        </is>
      </c>
      <c r="K38" s="3" t="inlineStr"/>
      <c r="L38" s="2" t="inlineStr"/>
      <c r="M38" s="2" t="inlineStr"/>
      <c r="N38" s="2" t="inlineStr"/>
      <c r="O38" s="2" t="inlineStr"/>
    </row>
    <row r="39" ht="16" customHeight="1">
      <c r="A39" s="2" t="inlineStr">
        <is>
          <t>Software Development Engineer – Intern - AI/ML</t>
        </is>
      </c>
      <c r="B39" s="2" t="inlineStr">
        <is>
          <t>F5</t>
        </is>
      </c>
      <c r="C39" s="3" t="inlineStr">
        <is>
          <t>2026-03-19</t>
        </is>
      </c>
      <c r="D39" s="3" t="n">
        <v>1</v>
      </c>
      <c r="E39" s="3" t="inlineStr">
        <is>
          <t>CA</t>
        </is>
      </c>
      <c r="F39" s="7" t="n">
        <v>11</v>
      </c>
      <c r="G39" s="3" t="inlineStr">
        <is>
          <t>Simplify</t>
        </is>
      </c>
      <c r="H39" s="2" t="inlineStr">
        <is>
          <t>San Jose, CA</t>
        </is>
      </c>
      <c r="I39" s="5">
        <f>HYPERLINK("https://ffive.wd5.myworkdayjobs.com/en-US/f5jobs/job/San-Jose/Software-Development-Engineer--AI-ML--Intern_RP1037004","↗")</f>
        <v/>
      </c>
      <c r="J39" s="3" t="inlineStr">
        <is>
          <t>No</t>
        </is>
      </c>
      <c r="K39" s="3" t="inlineStr"/>
      <c r="L39" s="2" t="inlineStr"/>
      <c r="M39" s="2" t="inlineStr"/>
      <c r="N39" s="2" t="inlineStr"/>
      <c r="O39" s="2" t="inlineStr"/>
    </row>
    <row r="40" ht="16" customHeight="1">
      <c r="A40" s="12" t="inlineStr">
        <is>
          <t>Intern - Developer</t>
        </is>
      </c>
      <c r="B40" s="12" t="inlineStr">
        <is>
          <t>Ingram Micro</t>
        </is>
      </c>
      <c r="C40" s="13" t="inlineStr">
        <is>
          <t>2026-03-19</t>
        </is>
      </c>
      <c r="D40" s="13" t="n">
        <v>1</v>
      </c>
      <c r="E40" s="13" t="inlineStr">
        <is>
          <t>NY</t>
        </is>
      </c>
      <c r="F40" s="14" t="n">
        <v>4</v>
      </c>
      <c r="G40" s="13" t="inlineStr">
        <is>
          <t>Simplify</t>
        </is>
      </c>
      <c r="H40" s="12" t="inlineStr">
        <is>
          <t>Cheektowaga, NY</t>
        </is>
      </c>
      <c r="I40" s="15">
        <f>HYPERLINK("https://ingrammicro.wd5.myworkdayjobs.com/IngramMicro/job/Williamsville-NY-United-States-of-America/Summer-Intern---Developer_R-114395","↗")</f>
        <v/>
      </c>
      <c r="J40" s="13" t="inlineStr">
        <is>
          <t>No</t>
        </is>
      </c>
      <c r="K40" s="13" t="inlineStr"/>
      <c r="L40" s="12" t="inlineStr"/>
      <c r="M40" s="12" t="inlineStr"/>
      <c r="N40" s="12" t="inlineStr"/>
      <c r="O40" s="12" t="inlineStr"/>
    </row>
    <row r="41" ht="16" customHeight="1">
      <c r="A41" s="2" t="inlineStr">
        <is>
          <t>Intern - Data Science and Analytics</t>
        </is>
      </c>
      <c r="B41" s="2" t="inlineStr">
        <is>
          <t>Ingram Micro</t>
        </is>
      </c>
      <c r="C41" s="3" t="inlineStr">
        <is>
          <t>2026-03-19</t>
        </is>
      </c>
      <c r="D41" s="3" t="n">
        <v>1</v>
      </c>
      <c r="E41" s="3" t="inlineStr">
        <is>
          <t>CA</t>
        </is>
      </c>
      <c r="F41" s="4" t="n">
        <v>5</v>
      </c>
      <c r="G41" s="3" t="inlineStr">
        <is>
          <t>Simplify</t>
        </is>
      </c>
      <c r="H41" s="2" t="inlineStr">
        <is>
          <t>Irvine, CA</t>
        </is>
      </c>
      <c r="I41" s="5">
        <f>HYPERLINK("https://ingrammicro.wd5.myworkdayjobs.com/IngramMicro/job/Irvine-CA-United-States-of-America/Summer-Intern---Data-Science-and-Analytics_R-114338","↗")</f>
        <v/>
      </c>
      <c r="J41" s="3" t="inlineStr">
        <is>
          <t>No</t>
        </is>
      </c>
      <c r="K41" s="3" t="inlineStr"/>
      <c r="L41" s="2" t="inlineStr"/>
      <c r="M41" s="2" t="inlineStr"/>
      <c r="N41" s="2" t="inlineStr"/>
      <c r="O41" s="2" t="inlineStr"/>
    </row>
    <row r="42" ht="16" customHeight="1">
      <c r="A42" s="2" t="inlineStr">
        <is>
          <t>Intern - Applied AI</t>
        </is>
      </c>
      <c r="B42" s="2" t="inlineStr">
        <is>
          <t>Ingram Micro</t>
        </is>
      </c>
      <c r="C42" s="3" t="inlineStr">
        <is>
          <t>2026-03-19</t>
        </is>
      </c>
      <c r="D42" s="3" t="n">
        <v>1</v>
      </c>
      <c r="E42" s="3" t="inlineStr">
        <is>
          <t>CA</t>
        </is>
      </c>
      <c r="F42" s="4" t="n">
        <v>4</v>
      </c>
      <c r="G42" s="3" t="inlineStr">
        <is>
          <t>Simplify</t>
        </is>
      </c>
      <c r="H42" s="2" t="inlineStr">
        <is>
          <t>Irvine, CA</t>
        </is>
      </c>
      <c r="I42" s="5">
        <f>HYPERLINK("https://ingrammicro.wd5.myworkdayjobs.com/IngramMicro/job/Irvine-CA-United-States-of-America/Summer-intern---Applied-AI_R-114226","↗")</f>
        <v/>
      </c>
      <c r="J42" s="3" t="inlineStr">
        <is>
          <t>No</t>
        </is>
      </c>
      <c r="K42" s="3" t="inlineStr"/>
      <c r="L42" s="2" t="inlineStr"/>
      <c r="M42" s="2" t="inlineStr"/>
      <c r="N42" s="2" t="inlineStr"/>
      <c r="O42" s="2" t="inlineStr"/>
    </row>
    <row r="43" ht="16" customHeight="1">
      <c r="A43" s="2" t="inlineStr">
        <is>
          <t>Software Engineer Intern</t>
        </is>
      </c>
      <c r="B43" s="2" t="inlineStr">
        <is>
          <t>Leidos</t>
        </is>
      </c>
      <c r="C43" s="3" t="inlineStr">
        <is>
          <t>2026-03-19</t>
        </is>
      </c>
      <c r="D43" s="3" t="n">
        <v>1</v>
      </c>
      <c r="E43" s="3" t="inlineStr">
        <is>
          <t>MD</t>
        </is>
      </c>
      <c r="F43" s="7" t="n">
        <v>9</v>
      </c>
      <c r="G43" s="3" t="inlineStr">
        <is>
          <t>Simplify</t>
        </is>
      </c>
      <c r="H43" s="2" t="inlineStr">
        <is>
          <t>Gaithersburg, MD</t>
        </is>
      </c>
      <c r="I43" s="5">
        <f>HYPERLINK("https://leidos.wd5.myworkdayjobs.com/External/job/Gaithersburg-MD/Software-Engineer-Intern_R-00178737","↗")</f>
        <v/>
      </c>
      <c r="J43" s="3" t="inlineStr">
        <is>
          <t>No</t>
        </is>
      </c>
      <c r="K43" s="3" t="inlineStr"/>
      <c r="L43" s="2" t="inlineStr"/>
      <c r="M43" s="2" t="inlineStr"/>
      <c r="N43" s="2" t="inlineStr"/>
      <c r="O43" s="2" t="inlineStr"/>
    </row>
    <row r="44" ht="16" customHeight="1">
      <c r="A44" s="2" t="inlineStr">
        <is>
          <t>Data and Technology – Operations and AI Innovation Intern</t>
        </is>
      </c>
      <c r="B44" s="2" t="inlineStr">
        <is>
          <t>Cloudflare</t>
        </is>
      </c>
      <c r="C44" s="3" t="inlineStr">
        <is>
          <t>2026-03-19</t>
        </is>
      </c>
      <c r="D44" s="3" t="n">
        <v>1</v>
      </c>
      <c r="E44" s="3" t="inlineStr">
        <is>
          <t>WA</t>
        </is>
      </c>
      <c r="F44" s="4" t="n">
        <v>4</v>
      </c>
      <c r="G44" s="3" t="inlineStr">
        <is>
          <t>Simplify</t>
        </is>
      </c>
      <c r="H44" s="2" t="inlineStr">
        <is>
          <t>Washington, DC</t>
        </is>
      </c>
      <c r="I44" s="5">
        <f>HYPERLINK("https://boards.greenhouse.io/cloudflare/jobs/7674785","↗")</f>
        <v/>
      </c>
      <c r="J44" s="3" t="inlineStr">
        <is>
          <t>No</t>
        </is>
      </c>
      <c r="K44" s="3" t="inlineStr"/>
      <c r="L44" s="2" t="inlineStr"/>
      <c r="M44" s="2" t="inlineStr"/>
      <c r="N44" s="2" t="inlineStr"/>
      <c r="O44" s="2" t="inlineStr"/>
    </row>
    <row r="45" ht="16" customHeight="1">
      <c r="A45" s="2" t="inlineStr">
        <is>
          <t>Intern Software Engineer</t>
        </is>
      </c>
      <c r="B45" s="2" t="inlineStr">
        <is>
          <t>Nordson</t>
        </is>
      </c>
      <c r="C45" s="3" t="inlineStr">
        <is>
          <t>2026-03-19</t>
        </is>
      </c>
      <c r="D45" s="3" t="n">
        <v>1</v>
      </c>
      <c r="E45" s="3" t="inlineStr"/>
      <c r="F45" s="4" t="n">
        <v>7</v>
      </c>
      <c r="G45" s="3" t="inlineStr">
        <is>
          <t>Simplify</t>
        </is>
      </c>
      <c r="H45" s="2" t="inlineStr">
        <is>
          <t>Providence, RI</t>
        </is>
      </c>
      <c r="I45" s="5">
        <f>HYPERLINK("https://nordsonhcm.wd501.myworkdayjobs.com/nordsoncareers/job/USA---Rhode-Island---East-Providence/Intern--Software-Engineering-_REQ50153","↗")</f>
        <v/>
      </c>
      <c r="J45" s="3" t="inlineStr">
        <is>
          <t>No</t>
        </is>
      </c>
      <c r="K45" s="3" t="inlineStr"/>
      <c r="L45" s="2" t="inlineStr"/>
      <c r="M45" s="2" t="inlineStr"/>
      <c r="N45" s="2" t="inlineStr"/>
      <c r="O45" s="2" t="inlineStr"/>
    </row>
    <row r="46" ht="16" customHeight="1">
      <c r="A46" s="2" t="inlineStr">
        <is>
          <t>Intern Software Engineer - Mission Systems</t>
        </is>
      </c>
      <c r="B46" s="2" t="inlineStr">
        <is>
          <t>Planet</t>
        </is>
      </c>
      <c r="C46" s="3" t="inlineStr">
        <is>
          <t>2026-03-19</t>
        </is>
      </c>
      <c r="D46" s="3" t="n">
        <v>1</v>
      </c>
      <c r="E46" s="3" t="inlineStr"/>
      <c r="F46" s="7" t="n">
        <v>10</v>
      </c>
      <c r="G46" s="3" t="inlineStr">
        <is>
          <t>Simplify</t>
        </is>
      </c>
      <c r="H46" s="2" t="inlineStr">
        <is>
          <t>SF</t>
        </is>
      </c>
      <c r="I46" s="5">
        <f>HYPERLINK("https://job-boards.greenhouse.io/planetlabs/jobs/7729180","↗")</f>
        <v/>
      </c>
      <c r="J46" s="3" t="inlineStr">
        <is>
          <t>No</t>
        </is>
      </c>
      <c r="K46" s="3" t="inlineStr"/>
      <c r="L46" s="2" t="inlineStr"/>
      <c r="M46" s="2" t="inlineStr"/>
      <c r="N46" s="2" t="inlineStr"/>
      <c r="O46" s="2" t="inlineStr"/>
    </row>
    <row r="47" ht="16" customHeight="1">
      <c r="A47" s="2" t="inlineStr">
        <is>
          <t>Intern Software Engineer</t>
        </is>
      </c>
      <c r="B47" s="2" t="inlineStr">
        <is>
          <t>Rakuten Advertising</t>
        </is>
      </c>
      <c r="C47" s="3" t="inlineStr">
        <is>
          <t>2026-03-19</t>
        </is>
      </c>
      <c r="D47" s="3" t="n">
        <v>1</v>
      </c>
      <c r="E47" s="3" t="inlineStr"/>
      <c r="F47" s="4" t="n">
        <v>7</v>
      </c>
      <c r="G47" s="3" t="inlineStr">
        <is>
          <t>Simplify</t>
        </is>
      </c>
      <c r="H47" s="2" t="inlineStr">
        <is>
          <t>Salt Lake City, UT</t>
        </is>
      </c>
      <c r="I47" s="5">
        <f>HYPERLINK("https://rakuten.wd1.myworkdayjobs.com/RakutenAdvertising/job/Salt-Lake-City-Utah/Intern---Software-Engineering_1031659","↗")</f>
        <v/>
      </c>
      <c r="J47" s="3" t="inlineStr">
        <is>
          <t>No</t>
        </is>
      </c>
      <c r="K47" s="3" t="inlineStr"/>
      <c r="L47" s="2" t="inlineStr"/>
      <c r="M47" s="2" t="inlineStr"/>
      <c r="N47" s="2" t="inlineStr"/>
      <c r="O47" s="2" t="inlineStr"/>
    </row>
    <row r="48" ht="16" customHeight="1">
      <c r="A48" s="2" t="inlineStr">
        <is>
          <t>Service Department Market Research &amp; Analytics Intern</t>
        </is>
      </c>
      <c r="B48" s="2" t="inlineStr">
        <is>
          <t>Robert Bosch Venture Capital</t>
        </is>
      </c>
      <c r="C48" s="3" t="inlineStr">
        <is>
          <t>2026-03-19</t>
        </is>
      </c>
      <c r="D48" s="3" t="n">
        <v>1</v>
      </c>
      <c r="E48" s="3" t="inlineStr">
        <is>
          <t>IL</t>
        </is>
      </c>
      <c r="F48" s="4" t="n">
        <v>4</v>
      </c>
      <c r="G48" s="3" t="inlineStr">
        <is>
          <t>Simplify</t>
        </is>
      </c>
      <c r="H48" s="2" t="inlineStr">
        <is>
          <t>Hoffman Estates, IL</t>
        </is>
      </c>
      <c r="I48" s="5">
        <f>HYPERLINK("https://jobs.smartrecruiters.com/BoschGroup/744000115677167","↗")</f>
        <v/>
      </c>
      <c r="J48" s="3" t="inlineStr">
        <is>
          <t>No</t>
        </is>
      </c>
      <c r="K48" s="3" t="inlineStr"/>
      <c r="L48" s="2" t="inlineStr"/>
      <c r="M48" s="2" t="inlineStr"/>
      <c r="N48" s="2" t="inlineStr"/>
      <c r="O48" s="2" t="inlineStr"/>
    </row>
    <row r="49" ht="16" customHeight="1">
      <c r="A49" s="2" t="inlineStr">
        <is>
          <t>Intern Software Engineer</t>
        </is>
      </c>
      <c r="B49" s="2" t="inlineStr">
        <is>
          <t>Veeva Systems</t>
        </is>
      </c>
      <c r="C49" s="3" t="inlineStr">
        <is>
          <t>2026-03-19</t>
        </is>
      </c>
      <c r="D49" s="3" t="n">
        <v>1</v>
      </c>
      <c r="E49" s="3" t="inlineStr">
        <is>
          <t>MA</t>
        </is>
      </c>
      <c r="F49" s="4" t="n">
        <v>7</v>
      </c>
      <c r="G49" s="3" t="inlineStr">
        <is>
          <t>Simplify</t>
        </is>
      </c>
      <c r="H49" s="2" t="inlineStr">
        <is>
          <t>Boston, MA</t>
        </is>
      </c>
      <c r="I49" s="5">
        <f>HYPERLINK("https://jobs.lever.co/veeva/8fd7767d-b134-422c-890b-338ec2e79212/apply","↗")</f>
        <v/>
      </c>
      <c r="J49" s="3" t="inlineStr">
        <is>
          <t>No</t>
        </is>
      </c>
      <c r="K49" s="3" t="inlineStr"/>
      <c r="L49" s="2" t="inlineStr"/>
      <c r="M49" s="2" t="inlineStr"/>
      <c r="N49" s="2" t="inlineStr"/>
      <c r="O49" s="2" t="inlineStr"/>
    </row>
    <row r="50" ht="16" customHeight="1">
      <c r="A50" s="2" t="inlineStr">
        <is>
          <t>Software Engineering Intern</t>
        </is>
      </c>
      <c r="B50" s="2" t="inlineStr">
        <is>
          <t>Analog Devices</t>
        </is>
      </c>
      <c r="C50" s="3" t="inlineStr">
        <is>
          <t>2026-03-19</t>
        </is>
      </c>
      <c r="D50" s="3" t="n">
        <v>1</v>
      </c>
      <c r="E50" s="3" t="inlineStr">
        <is>
          <t>NC</t>
        </is>
      </c>
      <c r="F50" s="6" t="n">
        <v>13</v>
      </c>
      <c r="G50" s="3" t="inlineStr">
        <is>
          <t>Simplify</t>
        </is>
      </c>
      <c r="H50" s="2" t="inlineStr">
        <is>
          <t>Durham, NC</t>
        </is>
      </c>
      <c r="I50" s="5">
        <f>HYPERLINK("https://analogdevices.wd1.myworkdayjobs.com/External/job/US-NC-Durham/Software-Engineering-Intern_R257207-1","↗")</f>
        <v/>
      </c>
      <c r="J50" s="3" t="inlineStr">
        <is>
          <t>No</t>
        </is>
      </c>
      <c r="K50" s="3" t="inlineStr"/>
      <c r="L50" s="2" t="inlineStr"/>
      <c r="M50" s="2" t="inlineStr"/>
      <c r="N50" s="2" t="inlineStr"/>
      <c r="O50" s="2" t="inlineStr"/>
    </row>
    <row r="51" ht="16" customHeight="1">
      <c r="A51" s="2" t="inlineStr">
        <is>
          <t>Intern Space Systems - Geometric Software Engineer</t>
        </is>
      </c>
      <c r="B51" s="2" t="inlineStr">
        <is>
          <t>Planet</t>
        </is>
      </c>
      <c r="C51" s="3" t="inlineStr">
        <is>
          <t>2026-03-19</t>
        </is>
      </c>
      <c r="D51" s="3" t="n">
        <v>1</v>
      </c>
      <c r="E51" s="3" t="inlineStr"/>
      <c r="F51" s="6" t="n">
        <v>13</v>
      </c>
      <c r="G51" s="3" t="inlineStr">
        <is>
          <t>Simplify</t>
        </is>
      </c>
      <c r="H51" s="2" t="inlineStr">
        <is>
          <t>SF</t>
        </is>
      </c>
      <c r="I51" s="5">
        <f>HYPERLINK("https://job-boards.greenhouse.io/planetlabs/jobs/7733188","↗")</f>
        <v/>
      </c>
      <c r="J51" s="3" t="inlineStr">
        <is>
          <t>No</t>
        </is>
      </c>
      <c r="K51" s="3" t="inlineStr"/>
      <c r="L51" s="2" t="inlineStr"/>
      <c r="M51" s="2" t="inlineStr"/>
      <c r="N51" s="2" t="inlineStr"/>
      <c r="O51" s="2" t="inlineStr"/>
    </row>
    <row r="52" ht="16" customHeight="1">
      <c r="A52" s="2" t="inlineStr">
        <is>
          <t>GDIT Intern Program – Software Development Intern</t>
        </is>
      </c>
      <c r="B52" s="2" t="inlineStr">
        <is>
          <t>General Dynamics Information Technology</t>
        </is>
      </c>
      <c r="C52" s="3" t="inlineStr">
        <is>
          <t>2026-03-19</t>
        </is>
      </c>
      <c r="D52" s="3" t="n">
        <v>1</v>
      </c>
      <c r="E52" s="3" t="inlineStr">
        <is>
          <t>VA</t>
        </is>
      </c>
      <c r="F52" s="4" t="n">
        <v>5</v>
      </c>
      <c r="G52" s="3" t="inlineStr">
        <is>
          <t>Simplify</t>
        </is>
      </c>
      <c r="H52" s="2" t="inlineStr">
        <is>
          <t>Arlington, VA</t>
        </is>
      </c>
      <c r="I52" s="5">
        <f>HYPERLINK("https://gdit.wd5.myworkdayjobs.com/gdit_earlytalent/job/USA-VA-Falls-Church/GDIT-Summer-Internship-Program---Summer-2026-Software-Development-Internship--_RQ212061-1","↗")</f>
        <v/>
      </c>
      <c r="J52" s="3" t="inlineStr">
        <is>
          <t>No</t>
        </is>
      </c>
      <c r="K52" s="3" t="inlineStr"/>
      <c r="L52" s="2" t="inlineStr"/>
      <c r="M52" s="2" t="inlineStr"/>
      <c r="N52" s="2" t="inlineStr"/>
      <c r="O52" s="2" t="inlineStr"/>
    </row>
    <row r="53" ht="16" customHeight="1">
      <c r="A53" s="2" t="inlineStr">
        <is>
          <t>Artificial Intelligence/Machine Learning Associate Intern</t>
        </is>
      </c>
      <c r="B53" s="2" t="inlineStr">
        <is>
          <t>General Dynamics Information Technology</t>
        </is>
      </c>
      <c r="C53" s="3" t="inlineStr">
        <is>
          <t>2026-03-19</t>
        </is>
      </c>
      <c r="D53" s="3" t="n">
        <v>1</v>
      </c>
      <c r="E53" s="3" t="inlineStr">
        <is>
          <t>VA</t>
        </is>
      </c>
      <c r="F53" s="6" t="n">
        <v>12</v>
      </c>
      <c r="G53" s="3" t="inlineStr">
        <is>
          <t>Simplify</t>
        </is>
      </c>
      <c r="H53" s="2" t="inlineStr">
        <is>
          <t>Springfield, VA</t>
        </is>
      </c>
      <c r="I53" s="5">
        <f>HYPERLINK("https://gdit.wd5.myworkdayjobs.com/gdit_earlytalent/job/USA-VA-Springfield/Artificial-Intelligence-Machine-Learning-Associate-Intern_RQ216889-1","↗")</f>
        <v/>
      </c>
      <c r="J53" s="3" t="inlineStr">
        <is>
          <t>No</t>
        </is>
      </c>
      <c r="K53" s="3" t="inlineStr"/>
      <c r="L53" s="2" t="inlineStr"/>
      <c r="M53" s="2" t="inlineStr"/>
      <c r="N53" s="2" t="inlineStr"/>
      <c r="O53" s="2" t="inlineStr"/>
    </row>
    <row r="54" ht="16" customHeight="1">
      <c r="A54" s="8" t="inlineStr">
        <is>
          <t>Agentic AI Engineering Intern</t>
        </is>
      </c>
      <c r="B54" s="8" t="inlineStr">
        <is>
          <t>Leidos</t>
        </is>
      </c>
      <c r="C54" s="9" t="inlineStr">
        <is>
          <t>2026-03-19</t>
        </is>
      </c>
      <c r="D54" s="9" t="n">
        <v>1</v>
      </c>
      <c r="E54" s="9" t="inlineStr">
        <is>
          <t>Remote</t>
        </is>
      </c>
      <c r="F54" s="11" t="n">
        <v>4</v>
      </c>
      <c r="G54" s="9" t="inlineStr">
        <is>
          <t>Simplify</t>
        </is>
      </c>
      <c r="H54" s="8" t="inlineStr">
        <is>
          <t>Remote in USA</t>
        </is>
      </c>
      <c r="I54" s="10">
        <f>HYPERLINK("https://leidos.wd5.myworkdayjobs.com/External/job/6314-RemoteTeleworker-US/Agentic-AI-Engineering-Intern_R-00178430","↗")</f>
        <v/>
      </c>
      <c r="J54" s="9" t="inlineStr">
        <is>
          <t>No</t>
        </is>
      </c>
      <c r="K54" s="9" t="inlineStr"/>
      <c r="L54" s="8" t="inlineStr"/>
      <c r="M54" s="8" t="inlineStr"/>
      <c r="N54" s="8" t="inlineStr"/>
      <c r="O54" s="8" t="inlineStr"/>
    </row>
    <row r="55" ht="16" customHeight="1">
      <c r="A55" s="2" t="inlineStr">
        <is>
          <t>Vehicle Systems Engineering Intern</t>
        </is>
      </c>
      <c r="B55" s="2" t="inlineStr">
        <is>
          <t>Geotab</t>
        </is>
      </c>
      <c r="C55" s="3" t="inlineStr">
        <is>
          <t>2026-03-19</t>
        </is>
      </c>
      <c r="D55" s="3" t="n">
        <v>1</v>
      </c>
      <c r="E55" s="3" t="inlineStr"/>
      <c r="F55" s="4" t="n">
        <v>4</v>
      </c>
      <c r="G55" s="3" t="inlineStr">
        <is>
          <t>Simplify</t>
        </is>
      </c>
      <c r="H55" s="2" t="inlineStr">
        <is>
          <t>High Wycombe, UK</t>
        </is>
      </c>
      <c r="I55" s="5">
        <f>HYPERLINK("https://job-boards.greenhouse.io/geotab/jobs/5140749008","↗")</f>
        <v/>
      </c>
      <c r="J55" s="3" t="inlineStr">
        <is>
          <t>No</t>
        </is>
      </c>
      <c r="K55" s="3" t="inlineStr"/>
      <c r="L55" s="2" t="inlineStr"/>
      <c r="M55" s="2" t="inlineStr"/>
      <c r="N55" s="2" t="inlineStr"/>
      <c r="O55" s="2" t="inlineStr"/>
    </row>
    <row r="56" ht="16" customHeight="1">
      <c r="A56" s="8" t="inlineStr">
        <is>
          <t>Data Engineer Intern</t>
        </is>
      </c>
      <c r="B56" s="8" t="inlineStr">
        <is>
          <t>Ensemble Health Partners</t>
        </is>
      </c>
      <c r="C56" s="9" t="inlineStr">
        <is>
          <t>2026-03-19</t>
        </is>
      </c>
      <c r="D56" s="9" t="n">
        <v>1</v>
      </c>
      <c r="E56" s="9" t="inlineStr">
        <is>
          <t>Remote</t>
        </is>
      </c>
      <c r="F56" s="11" t="n">
        <v>4</v>
      </c>
      <c r="G56" s="9" t="inlineStr">
        <is>
          <t>Simplify</t>
        </is>
      </c>
      <c r="H56" s="8" t="inlineStr">
        <is>
          <t>Remote in USA</t>
        </is>
      </c>
      <c r="I56" s="10">
        <f>HYPERLINK("https://ensemblehp.wd5.myworkdayjobs.com/ensemblehealthpartnerscareers/job/Remote---Nationwide/Data-Engineer-Intern_R040788","↗")</f>
        <v/>
      </c>
      <c r="J56" s="9" t="inlineStr">
        <is>
          <t>No</t>
        </is>
      </c>
      <c r="K56" s="9" t="inlineStr"/>
      <c r="L56" s="8" t="inlineStr"/>
      <c r="M56" s="8" t="inlineStr"/>
      <c r="N56" s="8" t="inlineStr"/>
      <c r="O56" s="8" t="inlineStr"/>
    </row>
    <row r="57" ht="16" customHeight="1">
      <c r="A57" s="2" t="inlineStr">
        <is>
          <t>Intern/Co-op Software Developer</t>
        </is>
      </c>
      <c r="B57" s="2" t="inlineStr">
        <is>
          <t>Cisive</t>
        </is>
      </c>
      <c r="C57" s="3" t="inlineStr">
        <is>
          <t>2026-03-19</t>
        </is>
      </c>
      <c r="D57" s="3" t="n">
        <v>1</v>
      </c>
      <c r="E57" s="3" t="inlineStr">
        <is>
          <t>MD</t>
        </is>
      </c>
      <c r="F57" s="4" t="n">
        <v>5</v>
      </c>
      <c r="G57" s="3" t="inlineStr">
        <is>
          <t>Simplify</t>
        </is>
      </c>
      <c r="H57" s="2" t="inlineStr">
        <is>
          <t>Maryland</t>
        </is>
      </c>
      <c r="I57" s="5">
        <f>HYPERLINK("https://cisive.wd108.myworkdayjobs.com/Cisive/job/Remote---Maryland/Intern--Software-Developer_JR100237","↗")</f>
        <v/>
      </c>
      <c r="J57" s="3" t="inlineStr">
        <is>
          <t>No</t>
        </is>
      </c>
      <c r="K57" s="3" t="inlineStr"/>
      <c r="L57" s="2" t="inlineStr"/>
      <c r="M57" s="2" t="inlineStr"/>
      <c r="N57" s="2" t="inlineStr"/>
      <c r="O57" s="2" t="inlineStr"/>
    </row>
    <row r="58" ht="16" customHeight="1">
      <c r="A58" s="2" t="inlineStr">
        <is>
          <t>Software Engineer Co-op - AI/ML</t>
        </is>
      </c>
      <c r="B58" s="2" t="inlineStr">
        <is>
          <t>Solink</t>
        </is>
      </c>
      <c r="C58" s="3" t="inlineStr">
        <is>
          <t>2026-03-19</t>
        </is>
      </c>
      <c r="D58" s="3" t="n">
        <v>1</v>
      </c>
      <c r="E58" s="3" t="inlineStr">
        <is>
          <t>CA</t>
        </is>
      </c>
      <c r="F58" s="7" t="n">
        <v>9</v>
      </c>
      <c r="G58" s="3" t="inlineStr">
        <is>
          <t>Simplify</t>
        </is>
      </c>
      <c r="H58" s="2" t="inlineStr">
        <is>
          <t>Ottawa, ON, Canada</t>
        </is>
      </c>
      <c r="I58" s="5">
        <f>HYPERLINK("https://jobs.ashbyhq.com/solink/4460f7ac-b697-4c9c-946d-16196a8ef58b/application","↗")</f>
        <v/>
      </c>
      <c r="J58" s="3" t="inlineStr">
        <is>
          <t>No</t>
        </is>
      </c>
      <c r="K58" s="3" t="inlineStr"/>
      <c r="L58" s="2" t="inlineStr"/>
      <c r="M58" s="2" t="inlineStr"/>
      <c r="N58" s="2" t="inlineStr"/>
      <c r="O58" s="2" t="inlineStr"/>
    </row>
    <row r="59" ht="16" customHeight="1">
      <c r="A59" s="2" t="inlineStr">
        <is>
          <t>Embedded Systems / Firmware Engineering Intern-1</t>
        </is>
      </c>
      <c r="B59" s="2" t="inlineStr">
        <is>
          <t>GE Vernova</t>
        </is>
      </c>
      <c r="C59" s="3" t="inlineStr">
        <is>
          <t>2026-03-19</t>
        </is>
      </c>
      <c r="D59" s="3" t="n">
        <v>1</v>
      </c>
      <c r="E59" s="3" t="inlineStr"/>
      <c r="F59" s="6" t="n">
        <v>15</v>
      </c>
      <c r="G59" s="3" t="inlineStr">
        <is>
          <t>Simplify</t>
        </is>
      </c>
      <c r="H59" s="2" t="inlineStr">
        <is>
          <t>Stoke-on-Trent, UK</t>
        </is>
      </c>
      <c r="I59" s="5">
        <f>HYPERLINK("https://gevernova.wd5.myworkdayjobs.com/vernova_externalsite/job/Stafford/Embedded-Systems---Firmware-Engineering-Intern-1_R5035165-2","↗")</f>
        <v/>
      </c>
      <c r="J59" s="3" t="inlineStr">
        <is>
          <t>No</t>
        </is>
      </c>
      <c r="K59" s="3" t="inlineStr"/>
      <c r="L59" s="2" t="inlineStr"/>
      <c r="M59" s="2" t="inlineStr"/>
      <c r="N59" s="2" t="inlineStr"/>
      <c r="O59" s="2" t="inlineStr"/>
    </row>
    <row r="60" ht="16" customHeight="1">
      <c r="A60" s="2" t="inlineStr">
        <is>
          <t>Embedded Systems / Firmware Engineering Intern-2</t>
        </is>
      </c>
      <c r="B60" s="2" t="inlineStr">
        <is>
          <t>GE Vernova</t>
        </is>
      </c>
      <c r="C60" s="3" t="inlineStr">
        <is>
          <t>2026-03-19</t>
        </is>
      </c>
      <c r="D60" s="3" t="n">
        <v>1</v>
      </c>
      <c r="E60" s="3" t="inlineStr"/>
      <c r="F60" s="6" t="n">
        <v>15</v>
      </c>
      <c r="G60" s="3" t="inlineStr">
        <is>
          <t>Simplify</t>
        </is>
      </c>
      <c r="H60" s="2" t="inlineStr">
        <is>
          <t>Stoke-on-Trent, UK</t>
        </is>
      </c>
      <c r="I60" s="5">
        <f>HYPERLINK("https://gevernova.wd5.myworkdayjobs.com/only_confidential_executive_recruiting/job/Stafford/Embedded-Systems---Firmware-Engineering-Intern-2_R5035163-2","↗")</f>
        <v/>
      </c>
      <c r="J60" s="3" t="inlineStr">
        <is>
          <t>No</t>
        </is>
      </c>
      <c r="K60" s="3" t="inlineStr"/>
      <c r="L60" s="2" t="inlineStr"/>
      <c r="M60" s="2" t="inlineStr"/>
      <c r="N60" s="2" t="inlineStr"/>
      <c r="O60" s="2" t="inlineStr"/>
    </row>
    <row r="61" ht="16" customHeight="1">
      <c r="A61" s="2" t="inlineStr">
        <is>
          <t>Embedded Systems / Firmware Engineering Intern-2</t>
        </is>
      </c>
      <c r="B61" s="2" t="inlineStr">
        <is>
          <t>GE Vernova</t>
        </is>
      </c>
      <c r="C61" s="3" t="inlineStr">
        <is>
          <t>2026-03-19</t>
        </is>
      </c>
      <c r="D61" s="3" t="n">
        <v>1</v>
      </c>
      <c r="E61" s="3" t="inlineStr"/>
      <c r="F61" s="6" t="n">
        <v>15</v>
      </c>
      <c r="G61" s="3" t="inlineStr">
        <is>
          <t>Simplify</t>
        </is>
      </c>
      <c r="H61" s="2" t="inlineStr">
        <is>
          <t>Stoke-on-Trent, UK</t>
        </is>
      </c>
      <c r="I61" s="5">
        <f>HYPERLINK("https://gevernova.wd5.myworkdayjobs.com/vernova_externalsite/job/Stafford/Embedded-Systems---Firmware-Engineering-Intern-2_R5035163-3","↗")</f>
        <v/>
      </c>
      <c r="J61" s="3" t="inlineStr">
        <is>
          <t>No</t>
        </is>
      </c>
      <c r="K61" s="3" t="inlineStr"/>
      <c r="L61" s="2" t="inlineStr"/>
      <c r="M61" s="2" t="inlineStr"/>
      <c r="N61" s="2" t="inlineStr"/>
      <c r="O61" s="2" t="inlineStr"/>
    </row>
    <row r="62" ht="16" customHeight="1">
      <c r="A62" s="2" t="inlineStr">
        <is>
          <t>Embedded Systems / Firmware Engineering Intern-1</t>
        </is>
      </c>
      <c r="B62" s="2" t="inlineStr">
        <is>
          <t>GE Vernova</t>
        </is>
      </c>
      <c r="C62" s="3" t="inlineStr">
        <is>
          <t>2026-03-19</t>
        </is>
      </c>
      <c r="D62" s="3" t="n">
        <v>1</v>
      </c>
      <c r="E62" s="3" t="inlineStr"/>
      <c r="F62" s="6" t="n">
        <v>15</v>
      </c>
      <c r="G62" s="3" t="inlineStr">
        <is>
          <t>Simplify</t>
        </is>
      </c>
      <c r="H62" s="2" t="inlineStr">
        <is>
          <t>Stoke-on-Trent, UK</t>
        </is>
      </c>
      <c r="I62" s="5">
        <f>HYPERLINK("https://gevernova.wd5.myworkdayjobs.com/only_confidential_executive_recruiting/job/Stafford/Embedded-Systems---Firmware-Engineering-Intern-1_R5035165-1","↗")</f>
        <v/>
      </c>
      <c r="J62" s="3" t="inlineStr">
        <is>
          <t>No</t>
        </is>
      </c>
      <c r="K62" s="3" t="inlineStr"/>
      <c r="L62" s="2" t="inlineStr"/>
      <c r="M62" s="2" t="inlineStr"/>
      <c r="N62" s="2" t="inlineStr"/>
      <c r="O62" s="2" t="inlineStr"/>
    </row>
    <row r="63" ht="16" customHeight="1">
      <c r="A63" s="16" t="inlineStr">
        <is>
          <t>AI/ML Intern</t>
        </is>
      </c>
      <c r="B63" s="16" t="inlineStr">
        <is>
          <t>Bio-Rad Laboratories</t>
        </is>
      </c>
      <c r="C63" s="17" t="inlineStr">
        <is>
          <t>2026-03-19</t>
        </is>
      </c>
      <c r="D63" s="17" t="n">
        <v>1</v>
      </c>
      <c r="E63" s="17" t="inlineStr">
        <is>
          <t>CA</t>
        </is>
      </c>
      <c r="F63" s="7" t="n">
        <v>8</v>
      </c>
      <c r="G63" s="17" t="inlineStr">
        <is>
          <t>AlmondCroffle</t>
        </is>
      </c>
      <c r="H63" s="16" t="inlineStr">
        <is>
          <t>Irvine, CA</t>
        </is>
      </c>
      <c r="I63" s="18">
        <f>HYPERLINK("https://careers-biorad.icims.com/jobs/38297/ai-ml-intern/job","↗")</f>
        <v/>
      </c>
      <c r="J63" s="17" t="inlineStr">
        <is>
          <t>No</t>
        </is>
      </c>
      <c r="K63" s="17" t="inlineStr"/>
      <c r="L63" s="16" t="inlineStr"/>
      <c r="M63" s="16" t="inlineStr"/>
      <c r="N63" s="16" t="inlineStr"/>
      <c r="O63" s="16" t="inlineStr"/>
    </row>
    <row r="64" ht="16" customHeight="1">
      <c r="A64" s="12" t="inlineStr">
        <is>
          <t>Software Engineer Summer Intern, Revenue Growth</t>
        </is>
      </c>
      <c r="B64" s="12" t="inlineStr">
        <is>
          <t>GameChanger</t>
        </is>
      </c>
      <c r="C64" s="13" t="inlineStr">
        <is>
          <t>2026-03-19</t>
        </is>
      </c>
      <c r="D64" s="13" t="n">
        <v>1</v>
      </c>
      <c r="E64" s="13" t="inlineStr">
        <is>
          <t>NY</t>
        </is>
      </c>
      <c r="F64" s="14" t="n">
        <v>7</v>
      </c>
      <c r="G64" s="13" t="inlineStr">
        <is>
          <t>AlmondCroffle</t>
        </is>
      </c>
      <c r="H64" s="12" t="inlineStr">
        <is>
          <t>New York, NY</t>
        </is>
      </c>
      <c r="I64" s="15">
        <f>HYPERLINK("https://jobs.ashbyhq.com/gamechanger/e782e817-22d9-4524-a653-b94913001dae","↗")</f>
        <v/>
      </c>
      <c r="J64" s="13" t="inlineStr">
        <is>
          <t>No</t>
        </is>
      </c>
      <c r="K64" s="13" t="inlineStr"/>
      <c r="L64" s="12" t="inlineStr"/>
      <c r="M64" s="12" t="inlineStr"/>
      <c r="N64" s="12" t="inlineStr"/>
      <c r="O64" s="12" t="inlineStr"/>
    </row>
    <row r="65" ht="16" customHeight="1">
      <c r="A65" s="12" t="inlineStr">
        <is>
          <t>Software Engineer Summer Intern, Fan Experience</t>
        </is>
      </c>
      <c r="B65" s="12" t="inlineStr">
        <is>
          <t>GameChanger</t>
        </is>
      </c>
      <c r="C65" s="13" t="inlineStr">
        <is>
          <t>2026-03-19</t>
        </is>
      </c>
      <c r="D65" s="13" t="n">
        <v>1</v>
      </c>
      <c r="E65" s="13" t="inlineStr">
        <is>
          <t>NY</t>
        </is>
      </c>
      <c r="F65" s="14" t="n">
        <v>7</v>
      </c>
      <c r="G65" s="13" t="inlineStr">
        <is>
          <t>AlmondCroffle</t>
        </is>
      </c>
      <c r="H65" s="12" t="inlineStr">
        <is>
          <t>New York, NY</t>
        </is>
      </c>
      <c r="I65" s="15">
        <f>HYPERLINK("https://jobs.ashbyhq.com/gamechanger/6087eacc-a1d0-41ec-af26-0d1cf1e9e9a1","↗")</f>
        <v/>
      </c>
      <c r="J65" s="13" t="inlineStr">
        <is>
          <t>No</t>
        </is>
      </c>
      <c r="K65" s="13" t="inlineStr"/>
      <c r="L65" s="12" t="inlineStr"/>
      <c r="M65" s="12" t="inlineStr"/>
      <c r="N65" s="12" t="inlineStr"/>
      <c r="O65" s="12" t="inlineStr"/>
    </row>
    <row r="66" ht="16" customHeight="1">
      <c r="A66" s="19" t="inlineStr">
        <is>
          <t>Intern Software Engineer</t>
        </is>
      </c>
      <c r="B66" s="19" t="inlineStr">
        <is>
          <t>General Dynamics Mission Systems</t>
        </is>
      </c>
      <c r="C66" s="20" t="inlineStr">
        <is>
          <t>2026-03-19</t>
        </is>
      </c>
      <c r="D66" s="20" t="n">
        <v>1</v>
      </c>
      <c r="E66" s="20" t="inlineStr">
        <is>
          <t>FL</t>
        </is>
      </c>
      <c r="F66" s="6" t="n">
        <v>12</v>
      </c>
      <c r="G66" s="20" t="inlineStr">
        <is>
          <t>AlmondCroffle</t>
        </is>
      </c>
      <c r="H66" s="19" t="inlineStr">
        <is>
          <t>Orlando, FL</t>
        </is>
      </c>
      <c r="I66" s="21">
        <f>HYPERLINK("https://careers-gdms.icims.com/jobs/71415/intern-software-engineer---orlando/job","↗")</f>
        <v/>
      </c>
      <c r="J66" s="20" t="inlineStr">
        <is>
          <t>No</t>
        </is>
      </c>
      <c r="K66" s="20" t="inlineStr"/>
      <c r="L66" s="19" t="inlineStr"/>
      <c r="M66" s="19" t="inlineStr"/>
      <c r="N66" s="19" t="inlineStr"/>
      <c r="O66" s="19" t="inlineStr"/>
    </row>
    <row r="67" ht="16" customHeight="1">
      <c r="A67" s="16" t="inlineStr">
        <is>
          <t>Software Engineering Intern - Test Automation</t>
        </is>
      </c>
      <c r="B67" s="16" t="inlineStr">
        <is>
          <t>Digs</t>
        </is>
      </c>
      <c r="C67" s="17" t="inlineStr">
        <is>
          <t>2026-03-19</t>
        </is>
      </c>
      <c r="D67" s="17" t="n">
        <v>1</v>
      </c>
      <c r="E67" s="17" t="inlineStr">
        <is>
          <t>VA</t>
        </is>
      </c>
      <c r="F67" s="7" t="n">
        <v>11</v>
      </c>
      <c r="G67" s="17" t="inlineStr">
        <is>
          <t>AlmondCroffle</t>
        </is>
      </c>
      <c r="H67" s="16" t="inlineStr">
        <is>
          <t>Vancouver, WA</t>
        </is>
      </c>
      <c r="I67" s="18">
        <f>HYPERLINK("https://job-boards.greenhouse.io/digs/jobs/4663939006","↗")</f>
        <v/>
      </c>
      <c r="J67" s="17" t="inlineStr">
        <is>
          <t>No</t>
        </is>
      </c>
      <c r="K67" s="17" t="inlineStr"/>
      <c r="L67" s="16" t="inlineStr"/>
      <c r="M67" s="16" t="inlineStr"/>
      <c r="N67" s="16" t="inlineStr"/>
      <c r="O67" s="16" t="inlineStr"/>
    </row>
    <row r="68" ht="16" customHeight="1">
      <c r="A68" s="22" t="inlineStr">
        <is>
          <t>Software Engineer Intern</t>
        </is>
      </c>
      <c r="B68" s="22" t="inlineStr">
        <is>
          <t>Intrepid Direct Insurance</t>
        </is>
      </c>
      <c r="C68" s="23" t="inlineStr">
        <is>
          <t>2026-03-19</t>
        </is>
      </c>
      <c r="D68" s="23" t="n">
        <v>1</v>
      </c>
      <c r="E68" s="23" t="inlineStr">
        <is>
          <t>PA</t>
        </is>
      </c>
      <c r="F68" s="24" t="n">
        <v>7</v>
      </c>
      <c r="G68" s="23" t="inlineStr">
        <is>
          <t>AlmondCroffle</t>
        </is>
      </c>
      <c r="H68" s="22" t="inlineStr">
        <is>
          <t>Overland Park, KS</t>
        </is>
      </c>
      <c r="I68" s="25">
        <f>HYPERLINK("https://careers-berkley.icims.com/jobs/13671/software-engineer-intern/job","↗")</f>
        <v/>
      </c>
      <c r="J68" s="23" t="inlineStr">
        <is>
          <t>No</t>
        </is>
      </c>
      <c r="K68" s="23" t="inlineStr"/>
      <c r="L68" s="22" t="inlineStr"/>
      <c r="M68" s="22" t="inlineStr"/>
      <c r="N68" s="22" t="inlineStr"/>
      <c r="O68" s="22" t="inlineStr"/>
    </row>
    <row r="69" ht="16" customHeight="1">
      <c r="A69" s="2" t="inlineStr">
        <is>
          <t>Security Software Engineer Project Intern - Network Security - BS/MS</t>
        </is>
      </c>
      <c r="B69" s="2" t="inlineStr">
        <is>
          <t>ByteDance</t>
        </is>
      </c>
      <c r="C69" s="3" t="inlineStr">
        <is>
          <t>2026-03-19</t>
        </is>
      </c>
      <c r="D69" s="3" t="n">
        <v>1</v>
      </c>
      <c r="E69" s="3" t="inlineStr">
        <is>
          <t>CA</t>
        </is>
      </c>
      <c r="F69" s="4" t="n">
        <v>7</v>
      </c>
      <c r="G69" s="3" t="inlineStr">
        <is>
          <t>Simplify</t>
        </is>
      </c>
      <c r="H69" s="2" t="inlineStr">
        <is>
          <t>San Jose, CA</t>
        </is>
      </c>
      <c r="I69" s="5">
        <f>HYPERLINK("https://jobs.bytedance.com/en/position/7618396290598045957/detail","↗")</f>
        <v/>
      </c>
      <c r="J69" s="3" t="inlineStr">
        <is>
          <t>No</t>
        </is>
      </c>
      <c r="K69" s="3" t="inlineStr"/>
      <c r="L69" s="2" t="inlineStr"/>
      <c r="M69" s="2" t="inlineStr"/>
      <c r="N69" s="2" t="inlineStr"/>
      <c r="O69" s="2" t="inlineStr"/>
    </row>
    <row r="70" ht="16" customHeight="1">
      <c r="A70" s="2" t="inlineStr">
        <is>
          <t>Software Engineer Intern - Security-Data - BS/MS</t>
        </is>
      </c>
      <c r="B70" s="2" t="inlineStr">
        <is>
          <t>ByteDance</t>
        </is>
      </c>
      <c r="C70" s="3" t="inlineStr">
        <is>
          <t>2026-03-19</t>
        </is>
      </c>
      <c r="D70" s="3" t="n">
        <v>1</v>
      </c>
      <c r="E70" s="3" t="inlineStr">
        <is>
          <t>CA</t>
        </is>
      </c>
      <c r="F70" s="4" t="n">
        <v>7</v>
      </c>
      <c r="G70" s="3" t="inlineStr">
        <is>
          <t>Simplify</t>
        </is>
      </c>
      <c r="H70" s="2" t="inlineStr">
        <is>
          <t>San Jose, CA</t>
        </is>
      </c>
      <c r="I70" s="5">
        <f>HYPERLINK("https://jobs.bytedance.com/en/position/7616874229010647349/detail","↗")</f>
        <v/>
      </c>
      <c r="J70" s="3" t="inlineStr">
        <is>
          <t>No</t>
        </is>
      </c>
      <c r="K70" s="3" t="inlineStr"/>
      <c r="L70" s="2" t="inlineStr"/>
      <c r="M70" s="2" t="inlineStr"/>
      <c r="N70" s="2" t="inlineStr"/>
      <c r="O70" s="2" t="inlineStr"/>
    </row>
    <row r="71" ht="16" customHeight="1">
      <c r="A71" s="2" t="inlineStr">
        <is>
          <t>Software Engineering Intern - Cloud Architecture</t>
        </is>
      </c>
      <c r="B71" s="2" t="inlineStr">
        <is>
          <t>Calix</t>
        </is>
      </c>
      <c r="C71" s="3" t="inlineStr">
        <is>
          <t>2026-03-19</t>
        </is>
      </c>
      <c r="D71" s="3" t="n">
        <v>1</v>
      </c>
      <c r="E71" s="3" t="inlineStr">
        <is>
          <t>CA</t>
        </is>
      </c>
      <c r="F71" s="7" t="n">
        <v>11</v>
      </c>
      <c r="G71" s="3" t="inlineStr">
        <is>
          <t>Simplify</t>
        </is>
      </c>
      <c r="H71" s="2" t="inlineStr">
        <is>
          <t>La Ronge, SK, Canada</t>
        </is>
      </c>
      <c r="I71" s="5">
        <f>HYPERLINK("https://calix.wd1.myworkdayjobs.com/External/job/Remote---North-America/Software-Engineering-Intern--Cloud-Architecture_R-11509","↗")</f>
        <v/>
      </c>
      <c r="J71" s="3" t="inlineStr">
        <is>
          <t>No</t>
        </is>
      </c>
      <c r="K71" s="3" t="inlineStr"/>
      <c r="L71" s="2" t="inlineStr"/>
      <c r="M71" s="2" t="inlineStr"/>
      <c r="N71" s="2" t="inlineStr"/>
      <c r="O71" s="2" t="inlineStr"/>
    </row>
    <row r="72" ht="16" customHeight="1">
      <c r="A72" s="2" t="inlineStr">
        <is>
          <t>Intern - Product Management - AI Chatbot &amp; Self-Service</t>
        </is>
      </c>
      <c r="B72" s="2" t="inlineStr">
        <is>
          <t>Ingram Micro</t>
        </is>
      </c>
      <c r="C72" s="3" t="inlineStr">
        <is>
          <t>2026-03-18</t>
        </is>
      </c>
      <c r="D72" s="3" t="n">
        <v>2</v>
      </c>
      <c r="E72" s="3" t="inlineStr">
        <is>
          <t>CA</t>
        </is>
      </c>
      <c r="F72" s="4" t="n">
        <v>4</v>
      </c>
      <c r="G72" s="3" t="inlineStr">
        <is>
          <t>Simplify</t>
        </is>
      </c>
      <c r="H72" s="2" t="inlineStr">
        <is>
          <t>Irvine, CA</t>
        </is>
      </c>
      <c r="I72" s="5">
        <f>HYPERLINK("https://ingrammicro.wd5.myworkdayjobs.com/IngramMicro/job/Irvine-CA-United-States-of-America/Summer-Intern---Product-Management--AI-Chatbot---Self-Service-_R-114221","↗")</f>
        <v/>
      </c>
      <c r="J72" s="3" t="inlineStr">
        <is>
          <t>No</t>
        </is>
      </c>
      <c r="K72" s="3" t="inlineStr"/>
      <c r="L72" s="2" t="inlineStr"/>
      <c r="M72" s="2" t="inlineStr"/>
      <c r="N72" s="2" t="inlineStr"/>
      <c r="O72" s="2" t="inlineStr"/>
    </row>
    <row r="73" ht="16" customHeight="1">
      <c r="A73" s="2" t="inlineStr">
        <is>
          <t>Artificial Intelligence Engineering Co-op</t>
        </is>
      </c>
      <c r="B73" s="2" t="inlineStr">
        <is>
          <t>Edwards Lifesciences</t>
        </is>
      </c>
      <c r="C73" s="3" t="inlineStr">
        <is>
          <t>2026-03-18</t>
        </is>
      </c>
      <c r="D73" s="3" t="n">
        <v>2</v>
      </c>
      <c r="E73" s="3" t="inlineStr">
        <is>
          <t>CA</t>
        </is>
      </c>
      <c r="F73" s="7" t="n">
        <v>8</v>
      </c>
      <c r="G73" s="3" t="inlineStr">
        <is>
          <t>Simplify</t>
        </is>
      </c>
      <c r="H73" s="2" t="inlineStr">
        <is>
          <t>Irvine, CA</t>
        </is>
      </c>
      <c r="I73" s="5">
        <f>HYPERLINK("https://edwards.wd5.myworkdayjobs.com/edwardscareers/job/USA-IRV-1472-AltonDBC6-7/Artificial-Intelligence-Machine-Learning-Co-Op--Summer-Winter-2026_Req-46655","↗")</f>
        <v/>
      </c>
      <c r="J73" s="3" t="inlineStr">
        <is>
          <t>No</t>
        </is>
      </c>
      <c r="K73" s="3" t="inlineStr"/>
      <c r="L73" s="2" t="inlineStr"/>
      <c r="M73" s="2" t="inlineStr"/>
      <c r="N73" s="2" t="inlineStr"/>
      <c r="O73" s="2" t="inlineStr"/>
    </row>
    <row r="74" ht="16" customHeight="1">
      <c r="A74" s="26" t="inlineStr">
        <is>
          <t>Software Engineer Intern</t>
        </is>
      </c>
      <c r="B74" s="2" t="inlineStr">
        <is>
          <t>Amentum</t>
        </is>
      </c>
      <c r="C74" s="3" t="inlineStr">
        <is>
          <t>2026-03-18</t>
        </is>
      </c>
      <c r="D74" s="3" t="n">
        <v>2</v>
      </c>
      <c r="E74" s="3" t="inlineStr">
        <is>
          <t>FL</t>
        </is>
      </c>
      <c r="F74" s="4" t="n">
        <v>7</v>
      </c>
      <c r="G74" s="3" t="inlineStr">
        <is>
          <t>Simplify</t>
        </is>
      </c>
      <c r="H74" s="2" t="inlineStr">
        <is>
          <t>Merritt Island, FL</t>
        </is>
      </c>
      <c r="I74" s="5">
        <f>HYPERLINK("https://pae.wd1.myworkdayjobs.com/en-US/amentum_careers/job/US-FL-Cocoa-Beach/Software-Engineer-Summer-Intern_R0156790","↗")</f>
        <v/>
      </c>
      <c r="J74" s="27" t="inlineStr">
        <is>
          <t>Yes</t>
        </is>
      </c>
      <c r="K74" s="3" t="inlineStr"/>
      <c r="L74" s="2" t="inlineStr"/>
      <c r="M74" s="2" t="inlineStr"/>
      <c r="N74" s="2" t="inlineStr"/>
      <c r="O74" s="2" t="inlineStr"/>
    </row>
    <row r="75" ht="16" customHeight="1">
      <c r="A75" s="2" t="inlineStr">
        <is>
          <t>AI Software Engineering PhD Intern</t>
        </is>
      </c>
      <c r="B75" s="2" t="inlineStr">
        <is>
          <t>Intel</t>
        </is>
      </c>
      <c r="C75" s="3" t="inlineStr">
        <is>
          <t>2026-03-18</t>
        </is>
      </c>
      <c r="D75" s="3" t="n">
        <v>2</v>
      </c>
      <c r="E75" s="3" t="inlineStr">
        <is>
          <t>AZ</t>
        </is>
      </c>
      <c r="F75" s="6" t="n">
        <v>13</v>
      </c>
      <c r="G75" s="3" t="inlineStr">
        <is>
          <t>Simplify</t>
        </is>
      </c>
      <c r="H75" s="2" t="inlineStr">
        <is>
          <t>Hillsboro, OR, Phoenix, AZ</t>
        </is>
      </c>
      <c r="I75" s="5">
        <f>HYPERLINK("https://intel.wd1.myworkdayjobs.com/en-us/external/job/US-Arizona-Phoenix/AI-Software-Engineering-PhD-Intern_JR0280312-1","↗")</f>
        <v/>
      </c>
      <c r="J75" s="3" t="inlineStr">
        <is>
          <t>No</t>
        </is>
      </c>
      <c r="K75" s="3" t="inlineStr"/>
      <c r="L75" s="2" t="inlineStr"/>
      <c r="M75" s="2" t="inlineStr"/>
      <c r="N75" s="2" t="inlineStr"/>
      <c r="O75" s="2" t="inlineStr"/>
    </row>
    <row r="76" ht="16" customHeight="1">
      <c r="A76" s="2" t="inlineStr">
        <is>
          <t>Software Engineering Intern</t>
        </is>
      </c>
      <c r="B76" s="2" t="inlineStr">
        <is>
          <t>Athena Health</t>
        </is>
      </c>
      <c r="C76" s="3" t="inlineStr">
        <is>
          <t>2026-03-18</t>
        </is>
      </c>
      <c r="D76" s="3" t="n">
        <v>2</v>
      </c>
      <c r="E76" s="3" t="inlineStr">
        <is>
          <t>MA</t>
        </is>
      </c>
      <c r="F76" s="7" t="n">
        <v>11</v>
      </c>
      <c r="G76" s="3" t="inlineStr">
        <is>
          <t>Simplify</t>
        </is>
      </c>
      <c r="H76" s="2" t="inlineStr">
        <is>
          <t>Boston, MA</t>
        </is>
      </c>
      <c r="I76" s="5">
        <f>HYPERLINK("https://athenahealth.wd1.myworkdayjobs.com/en-US/External/job/Boston-MA/XMLNAME-2026-Summer-Software-Engineering-Intern_R13966","↗")</f>
        <v/>
      </c>
      <c r="J76" s="3" t="inlineStr">
        <is>
          <t>No</t>
        </is>
      </c>
      <c r="K76" s="3" t="inlineStr"/>
      <c r="L76" s="2" t="inlineStr"/>
      <c r="M76" s="2" t="inlineStr"/>
      <c r="N76" s="2" t="inlineStr"/>
      <c r="O76" s="2" t="inlineStr"/>
    </row>
    <row r="77" ht="16" customHeight="1">
      <c r="A77" s="2" t="inlineStr">
        <is>
          <t>Data Analytics Engineer Intern</t>
        </is>
      </c>
      <c r="B77" s="2" t="inlineStr">
        <is>
          <t>State of Wisconsin Investment Board</t>
        </is>
      </c>
      <c r="C77" s="3" t="inlineStr">
        <is>
          <t>2026-03-18</t>
        </is>
      </c>
      <c r="D77" s="3" t="n">
        <v>2</v>
      </c>
      <c r="E77" s="3" t="inlineStr">
        <is>
          <t>MA</t>
        </is>
      </c>
      <c r="F77" s="4" t="n">
        <v>5</v>
      </c>
      <c r="G77" s="3" t="inlineStr">
        <is>
          <t>Simplify</t>
        </is>
      </c>
      <c r="H77" s="2" t="inlineStr">
        <is>
          <t>Madison, WI</t>
        </is>
      </c>
      <c r="I77" s="5">
        <f>HYPERLINK("https://swib.wd12.myworkdayjobs.com/en-US/ext/job/Madison-Wisconsin/Data-Analytics-Engineer-Intern_R-001301","↗")</f>
        <v/>
      </c>
      <c r="J77" s="3" t="inlineStr">
        <is>
          <t>No</t>
        </is>
      </c>
      <c r="K77" s="3" t="inlineStr"/>
      <c r="L77" s="2" t="inlineStr"/>
      <c r="M77" s="2" t="inlineStr"/>
      <c r="N77" s="2" t="inlineStr"/>
      <c r="O77" s="2" t="inlineStr"/>
    </row>
    <row r="78" ht="16" customHeight="1">
      <c r="A78" s="28" t="inlineStr">
        <is>
          <t>GenAI Engineer Intern</t>
        </is>
      </c>
      <c r="B78" s="28" t="inlineStr">
        <is>
          <t xml:space="preserve"> Otsuka Pharmaceutical</t>
        </is>
      </c>
      <c r="C78" s="29" t="inlineStr">
        <is>
          <t>2026-03-18</t>
        </is>
      </c>
      <c r="D78" s="29" t="n">
        <v>2</v>
      </c>
      <c r="E78" s="29" t="inlineStr">
        <is>
          <t>NJ</t>
        </is>
      </c>
      <c r="F78" s="30" t="n">
        <v>4</v>
      </c>
      <c r="G78" s="29" t="inlineStr">
        <is>
          <t>Simplify</t>
        </is>
      </c>
      <c r="H78" s="28" t="inlineStr">
        <is>
          <t>Princeton, NJ</t>
        </is>
      </c>
      <c r="I78" s="31">
        <f>HYPERLINK("https://vhr-otsuka.wd1.myworkdayjobs.com/External/job/Princeton-NJ/Intern-the-Otsuka-Way-2026---GenAI-Engineer-Intern_R11118","↗")</f>
        <v/>
      </c>
      <c r="J78" s="29" t="inlineStr">
        <is>
          <t>No</t>
        </is>
      </c>
      <c r="K78" s="29" t="inlineStr"/>
      <c r="L78" s="28" t="inlineStr"/>
      <c r="M78" s="28" t="inlineStr"/>
      <c r="N78" s="28" t="inlineStr"/>
      <c r="O78" s="28" t="inlineStr"/>
    </row>
    <row r="79" ht="16" customHeight="1">
      <c r="A79" s="28" t="inlineStr">
        <is>
          <t>AI Systems Engineer Intern - AI Systems Engineer</t>
        </is>
      </c>
      <c r="B79" s="28" t="inlineStr">
        <is>
          <t xml:space="preserve"> Otsuka Pharmaceutical</t>
        </is>
      </c>
      <c r="C79" s="29" t="inlineStr">
        <is>
          <t>2026-03-18</t>
        </is>
      </c>
      <c r="D79" s="29" t="n">
        <v>2</v>
      </c>
      <c r="E79" s="29" t="inlineStr">
        <is>
          <t>NJ</t>
        </is>
      </c>
      <c r="F79" s="30" t="n">
        <v>6</v>
      </c>
      <c r="G79" s="29" t="inlineStr">
        <is>
          <t>Simplify</t>
        </is>
      </c>
      <c r="H79" s="28" t="inlineStr">
        <is>
          <t>Princeton, NJ</t>
        </is>
      </c>
      <c r="I79" s="31">
        <f>HYPERLINK("https://vhr-otsuka.wd1.myworkdayjobs.com/External/job/Princeton-NJ/Intern-the-Otsuka-Way-2026---AI-Systems-Engineer-Intern-_R11117","↗")</f>
        <v/>
      </c>
      <c r="J79" s="29" t="inlineStr">
        <is>
          <t>No</t>
        </is>
      </c>
      <c r="K79" s="29" t="inlineStr"/>
      <c r="L79" s="28" t="inlineStr"/>
      <c r="M79" s="28" t="inlineStr"/>
      <c r="N79" s="28" t="inlineStr"/>
      <c r="O79" s="28" t="inlineStr"/>
    </row>
    <row r="80" ht="16" customHeight="1">
      <c r="A80" s="2" t="inlineStr">
        <is>
          <t>Statistical Programming Intern - Statistical Programming - AI</t>
        </is>
      </c>
      <c r="B80" s="2" t="inlineStr">
        <is>
          <t>Vertex Pharmaceuticals</t>
        </is>
      </c>
      <c r="C80" s="3" t="inlineStr">
        <is>
          <t>2026-03-18</t>
        </is>
      </c>
      <c r="D80" s="3" t="n">
        <v>2</v>
      </c>
      <c r="E80" s="3" t="inlineStr">
        <is>
          <t>MA</t>
        </is>
      </c>
      <c r="F80" s="4" t="n">
        <v>4</v>
      </c>
      <c r="G80" s="3" t="inlineStr">
        <is>
          <t>Simplify</t>
        </is>
      </c>
      <c r="H80" s="2" t="inlineStr">
        <is>
          <t>Boston, MA</t>
        </is>
      </c>
      <c r="I80" s="5">
        <f>HYPERLINK("https://vrtx.wd501.myworkdayjobs.com/vertex_intern/job/Boston-MA/Vertex-Summer-Intern-2026--Statistical-Programming---LLM-Agent-Development--TFL-Automation-_REQ-27214-1","↗")</f>
        <v/>
      </c>
      <c r="J80" s="3" t="inlineStr">
        <is>
          <t>No</t>
        </is>
      </c>
      <c r="K80" s="3" t="inlineStr"/>
      <c r="L80" s="2" t="inlineStr"/>
      <c r="M80" s="2" t="inlineStr"/>
      <c r="N80" s="2" t="inlineStr"/>
      <c r="O80" s="2" t="inlineStr"/>
    </row>
    <row r="81" ht="16" customHeight="1">
      <c r="A81" s="2" t="inlineStr">
        <is>
          <t>Cloud Developer Intern</t>
        </is>
      </c>
      <c r="B81" s="2" t="inlineStr">
        <is>
          <t>Avnet</t>
        </is>
      </c>
      <c r="C81" s="3" t="inlineStr">
        <is>
          <t>2026-03-18</t>
        </is>
      </c>
      <c r="D81" s="3" t="n">
        <v>2</v>
      </c>
      <c r="E81" s="3" t="inlineStr">
        <is>
          <t>AZ</t>
        </is>
      </c>
      <c r="F81" s="4" t="n">
        <v>4</v>
      </c>
      <c r="G81" s="3" t="inlineStr">
        <is>
          <t>Simplify</t>
        </is>
      </c>
      <c r="H81" s="2" t="inlineStr">
        <is>
          <t>Phoenix, AZ</t>
        </is>
      </c>
      <c r="I81" s="5">
        <f>HYPERLINK("https://avnet.wd1.myworkdayjobs.com/external/job/Phoenix-Arizona-United-States-Of-America/Cloud-Developer-Intern_JR-022063","↗")</f>
        <v/>
      </c>
      <c r="J81" s="3" t="inlineStr">
        <is>
          <t>No</t>
        </is>
      </c>
      <c r="K81" s="3" t="inlineStr"/>
      <c r="L81" s="2" t="inlineStr"/>
      <c r="M81" s="2" t="inlineStr"/>
      <c r="N81" s="2" t="inlineStr"/>
      <c r="O81" s="2" t="inlineStr"/>
    </row>
    <row r="82" ht="16" customHeight="1">
      <c r="A82" s="2" t="inlineStr">
        <is>
          <t>Cloud Developer Intern</t>
        </is>
      </c>
      <c r="B82" s="2" t="inlineStr">
        <is>
          <t>Avnet</t>
        </is>
      </c>
      <c r="C82" s="3" t="inlineStr">
        <is>
          <t>2026-03-18</t>
        </is>
      </c>
      <c r="D82" s="3" t="n">
        <v>2</v>
      </c>
      <c r="E82" s="3" t="inlineStr">
        <is>
          <t>AZ</t>
        </is>
      </c>
      <c r="F82" s="4" t="n">
        <v>4</v>
      </c>
      <c r="G82" s="3" t="inlineStr">
        <is>
          <t>Simplify</t>
        </is>
      </c>
      <c r="H82" s="2" t="inlineStr">
        <is>
          <t>Phoenix, AZ</t>
        </is>
      </c>
      <c r="I82" s="5">
        <f>HYPERLINK("https://wd1.myworkdaysite.com/recruiting/avnet/External/job/Phoenix-Arizona-United-States-Of-America/Cloud-Developer-Intern_JR-022063","↗")</f>
        <v/>
      </c>
      <c r="J82" s="3" t="inlineStr">
        <is>
          <t>No</t>
        </is>
      </c>
      <c r="K82" s="3" t="inlineStr"/>
      <c r="L82" s="2" t="inlineStr"/>
      <c r="M82" s="2" t="inlineStr"/>
      <c r="N82" s="2" t="inlineStr"/>
      <c r="O82" s="2" t="inlineStr"/>
    </row>
    <row r="83" ht="16" customHeight="1">
      <c r="A83" s="2" t="inlineStr">
        <is>
          <t>Software Engineer – Co-op</t>
        </is>
      </c>
      <c r="B83" s="2" t="inlineStr">
        <is>
          <t>Generac</t>
        </is>
      </c>
      <c r="C83" s="3" t="inlineStr">
        <is>
          <t>2026-03-18</t>
        </is>
      </c>
      <c r="D83" s="3" t="n">
        <v>2</v>
      </c>
      <c r="E83" s="3" t="inlineStr">
        <is>
          <t>CA</t>
        </is>
      </c>
      <c r="F83" s="4" t="n">
        <v>7</v>
      </c>
      <c r="G83" s="3" t="inlineStr">
        <is>
          <t>Simplify</t>
        </is>
      </c>
      <c r="H83" s="2" t="inlineStr">
        <is>
          <t>Toronto, ON, Canada</t>
        </is>
      </c>
      <c r="I83" s="5">
        <f>HYPERLINK("https://generac.wd5.myworkdayjobs.com/en-US/external/job/Toronto-Canada/Software-Engineer--Co-op_JR13063","↗")</f>
        <v/>
      </c>
      <c r="J83" s="3" t="inlineStr">
        <is>
          <t>No</t>
        </is>
      </c>
      <c r="K83" s="3" t="inlineStr"/>
      <c r="L83" s="2" t="inlineStr"/>
      <c r="M83" s="2" t="inlineStr"/>
      <c r="N83" s="2" t="inlineStr"/>
      <c r="O83" s="2" t="inlineStr"/>
    </row>
    <row r="84" ht="16" customHeight="1">
      <c r="A84" s="2" t="inlineStr">
        <is>
          <t>Software Engineer – Co-op</t>
        </is>
      </c>
      <c r="B84" s="2" t="inlineStr">
        <is>
          <t>Generac</t>
        </is>
      </c>
      <c r="C84" s="3" t="inlineStr">
        <is>
          <t>2026-03-18</t>
        </is>
      </c>
      <c r="D84" s="3" t="n">
        <v>2</v>
      </c>
      <c r="E84" s="3" t="inlineStr">
        <is>
          <t>CA</t>
        </is>
      </c>
      <c r="F84" s="4" t="n">
        <v>7</v>
      </c>
      <c r="G84" s="3" t="inlineStr">
        <is>
          <t>Simplify</t>
        </is>
      </c>
      <c r="H84" s="2" t="inlineStr">
        <is>
          <t>Toronto, ON, Canada</t>
        </is>
      </c>
      <c r="I84" s="5">
        <f>HYPERLINK("https://generac.wd5.myworkdayjobs.com/en-US/external/job/Toronto-Canada/Software-Engineer--Co-op_JR11651","↗")</f>
        <v/>
      </c>
      <c r="J84" s="3" t="inlineStr">
        <is>
          <t>No</t>
        </is>
      </c>
      <c r="K84" s="3" t="inlineStr"/>
      <c r="L84" s="2" t="inlineStr"/>
      <c r="M84" s="2" t="inlineStr"/>
      <c r="N84" s="2" t="inlineStr"/>
      <c r="O84" s="2" t="inlineStr"/>
    </row>
    <row r="85" ht="16" customHeight="1">
      <c r="A85" s="2" t="inlineStr">
        <is>
          <t>Software Engineer Intern</t>
        </is>
      </c>
      <c r="B85" s="2" t="inlineStr">
        <is>
          <t>Tokyo Electron</t>
        </is>
      </c>
      <c r="C85" s="3" t="inlineStr">
        <is>
          <t>2026-03-18</t>
        </is>
      </c>
      <c r="D85" s="3" t="n">
        <v>2</v>
      </c>
      <c r="E85" s="3" t="inlineStr"/>
      <c r="F85" s="4" t="n">
        <v>7</v>
      </c>
      <c r="G85" s="3" t="inlineStr">
        <is>
          <t>Simplify</t>
        </is>
      </c>
      <c r="H85" s="2" t="inlineStr">
        <is>
          <t>Chaska, MN</t>
        </is>
      </c>
      <c r="I85" s="5">
        <f>HYPERLINK("https://tel.wd3.myworkdayjobs.com/tel-careers/job/Chaska/Software-Engineer-Intern--Summer-2026-_R25-01193","↗")</f>
        <v/>
      </c>
      <c r="J85" s="3" t="inlineStr">
        <is>
          <t>No</t>
        </is>
      </c>
      <c r="K85" s="3" t="inlineStr"/>
      <c r="L85" s="2" t="inlineStr"/>
      <c r="M85" s="2" t="inlineStr"/>
      <c r="N85" s="2" t="inlineStr"/>
      <c r="O85" s="2" t="inlineStr"/>
    </row>
    <row r="86" ht="16" customHeight="1">
      <c r="A86" s="2" t="inlineStr">
        <is>
          <t>AI Software Engineer Intern</t>
        </is>
      </c>
      <c r="B86" s="2" t="inlineStr">
        <is>
          <t>Sierra Space</t>
        </is>
      </c>
      <c r="C86" s="3" t="inlineStr">
        <is>
          <t>2026-03-18</t>
        </is>
      </c>
      <c r="D86" s="3" t="n">
        <v>2</v>
      </c>
      <c r="E86" s="3" t="inlineStr">
        <is>
          <t>CO</t>
        </is>
      </c>
      <c r="F86" s="7" t="n">
        <v>9</v>
      </c>
      <c r="G86" s="3" t="inlineStr">
        <is>
          <t>Simplify</t>
        </is>
      </c>
      <c r="H86" s="2" t="inlineStr">
        <is>
          <t>Lafayette, CO</t>
        </is>
      </c>
      <c r="I86" s="5">
        <f>HYPERLINK("https://sierraspace.wd1.myworkdayjobs.com/en-US/Sierra_Space_External_Career_Site/job/Louisville-CO/Summer-2026-AI-Software-Engineer-Intern_R25433","↗")</f>
        <v/>
      </c>
      <c r="J86" s="3" t="inlineStr">
        <is>
          <t>No</t>
        </is>
      </c>
      <c r="K86" s="3" t="inlineStr"/>
      <c r="L86" s="2" t="inlineStr"/>
      <c r="M86" s="2" t="inlineStr"/>
      <c r="N86" s="2" t="inlineStr"/>
      <c r="O86" s="2" t="inlineStr"/>
    </row>
    <row r="87" ht="16" customHeight="1">
      <c r="A87" s="2" t="inlineStr">
        <is>
          <t>AI Enablement Intern</t>
        </is>
      </c>
      <c r="B87" s="2" t="inlineStr">
        <is>
          <t>Emerson Electric</t>
        </is>
      </c>
      <c r="C87" s="3" t="inlineStr">
        <is>
          <t>2026-03-18</t>
        </is>
      </c>
      <c r="D87" s="3" t="n">
        <v>2</v>
      </c>
      <c r="E87" s="3" t="inlineStr"/>
      <c r="F87" s="4" t="n">
        <v>4</v>
      </c>
      <c r="G87" s="3" t="inlineStr">
        <is>
          <t>Simplify</t>
        </is>
      </c>
      <c r="H87" s="2" t="inlineStr">
        <is>
          <t>Iowa</t>
        </is>
      </c>
      <c r="I87" s="5">
        <f>HYPERLINK("https://hdjq.fa.us2.oraclecloud.com/hcmUI/CandidateExperience/en/sites/CX_1/job/26003350","↗")</f>
        <v/>
      </c>
      <c r="J87" s="3" t="inlineStr">
        <is>
          <t>No</t>
        </is>
      </c>
      <c r="K87" s="3" t="inlineStr"/>
      <c r="L87" s="2" t="inlineStr"/>
      <c r="M87" s="2" t="inlineStr"/>
      <c r="N87" s="2" t="inlineStr"/>
      <c r="O87" s="2" t="inlineStr"/>
    </row>
    <row r="88" ht="16" customHeight="1">
      <c r="A88" s="2" t="inlineStr">
        <is>
          <t>Full Stack Developer Intern</t>
        </is>
      </c>
      <c r="B88" s="2" t="inlineStr">
        <is>
          <t>ALKU</t>
        </is>
      </c>
      <c r="C88" s="3" t="inlineStr">
        <is>
          <t>2026-03-18</t>
        </is>
      </c>
      <c r="D88" s="3" t="n">
        <v>2</v>
      </c>
      <c r="E88" s="3" t="inlineStr">
        <is>
          <t>MA</t>
        </is>
      </c>
      <c r="F88" s="4" t="n">
        <v>4</v>
      </c>
      <c r="G88" s="3" t="inlineStr">
        <is>
          <t>Simplify</t>
        </is>
      </c>
      <c r="H88" s="2" t="inlineStr">
        <is>
          <t>Andover, MA</t>
        </is>
      </c>
      <c r="I88" s="5">
        <f>HYPERLINK("https://boards.greenhouse.io/alku/jobs/7732688","↗")</f>
        <v/>
      </c>
      <c r="J88" s="3" t="inlineStr">
        <is>
          <t>No</t>
        </is>
      </c>
      <c r="K88" s="3" t="inlineStr"/>
      <c r="L88" s="2" t="inlineStr"/>
      <c r="M88" s="2" t="inlineStr"/>
      <c r="N88" s="2" t="inlineStr"/>
      <c r="O88" s="2" t="inlineStr"/>
    </row>
    <row r="89" ht="16" customHeight="1">
      <c r="A89" s="12" t="inlineStr">
        <is>
          <t>Pricing Analytics – Intern</t>
        </is>
      </c>
      <c r="B89" s="12" t="inlineStr">
        <is>
          <t>Cooper Companies</t>
        </is>
      </c>
      <c r="C89" s="13" t="inlineStr">
        <is>
          <t>2026-03-18</t>
        </is>
      </c>
      <c r="D89" s="13" t="n">
        <v>2</v>
      </c>
      <c r="E89" s="13" t="inlineStr">
        <is>
          <t>NY</t>
        </is>
      </c>
      <c r="F89" s="14" t="n">
        <v>4</v>
      </c>
      <c r="G89" s="13" t="inlineStr">
        <is>
          <t>Simplify</t>
        </is>
      </c>
      <c r="H89" s="12" t="inlineStr">
        <is>
          <t>Canandaigua, NY</t>
        </is>
      </c>
      <c r="I89" s="15">
        <f>HYPERLINK("https://hcjy.fa.us2.oraclecloud.com/hcmUI/CandidateExperience/en/sites/CX_1/job/10546","↗")</f>
        <v/>
      </c>
      <c r="J89" s="13" t="inlineStr">
        <is>
          <t>No</t>
        </is>
      </c>
      <c r="K89" s="13" t="inlineStr"/>
      <c r="L89" s="12" t="inlineStr"/>
      <c r="M89" s="12" t="inlineStr"/>
      <c r="N89" s="12" t="inlineStr"/>
      <c r="O89" s="12" t="inlineStr"/>
    </row>
    <row r="90" ht="16" customHeight="1">
      <c r="A90" s="2" t="inlineStr">
        <is>
          <t>Intern Software Engineer</t>
        </is>
      </c>
      <c r="B90" s="2" t="inlineStr">
        <is>
          <t xml:space="preserve">Moog </t>
        </is>
      </c>
      <c r="C90" s="3" t="inlineStr">
        <is>
          <t>2026-03-18</t>
        </is>
      </c>
      <c r="D90" s="3" t="n">
        <v>2</v>
      </c>
      <c r="E90" s="3" t="inlineStr">
        <is>
          <t>CO</t>
        </is>
      </c>
      <c r="F90" s="4" t="n">
        <v>7</v>
      </c>
      <c r="G90" s="3" t="inlineStr">
        <is>
          <t>Simplify</t>
        </is>
      </c>
      <c r="H90" s="2" t="inlineStr">
        <is>
          <t>Wheat Ridge, CO</t>
        </is>
      </c>
      <c r="I90" s="5">
        <f>HYPERLINK("https://moog.wd5.myworkdayjobs.com/moog_external_career_site/job/Arvada-CO/Intern--Software-Engineering_R-26-16685","↗")</f>
        <v/>
      </c>
      <c r="J90" s="3" t="inlineStr">
        <is>
          <t>No</t>
        </is>
      </c>
      <c r="K90" s="3" t="inlineStr"/>
      <c r="L90" s="2" t="inlineStr"/>
      <c r="M90" s="2" t="inlineStr"/>
      <c r="N90" s="2" t="inlineStr"/>
      <c r="O90" s="2" t="inlineStr"/>
    </row>
    <row r="91" ht="16" customHeight="1">
      <c r="A91" s="2" t="inlineStr">
        <is>
          <t>Software Engineer: Intern Opportunities for University Students</t>
        </is>
      </c>
      <c r="B91" s="2" t="inlineStr">
        <is>
          <t>Microsoft</t>
        </is>
      </c>
      <c r="C91" s="3" t="inlineStr">
        <is>
          <t>2026-03-18</t>
        </is>
      </c>
      <c r="D91" s="3" t="n">
        <v>2</v>
      </c>
      <c r="E91" s="3" t="inlineStr">
        <is>
          <t>CA</t>
        </is>
      </c>
      <c r="F91" s="4" t="n">
        <v>7</v>
      </c>
      <c r="G91" s="3" t="inlineStr">
        <is>
          <t>Simplify</t>
        </is>
      </c>
      <c r="H91" s="2" t="inlineStr">
        <is>
          <t>Vancouver, BC, Canada</t>
        </is>
      </c>
      <c r="I91" s="5">
        <f>HYPERLINK("https://apply.careers.microsoft.com/careers/job/1970393556834019","↗")</f>
        <v/>
      </c>
      <c r="J91" s="3" t="inlineStr">
        <is>
          <t>No</t>
        </is>
      </c>
      <c r="K91" s="3" t="inlineStr"/>
      <c r="L91" s="2" t="inlineStr"/>
      <c r="M91" s="2" t="inlineStr"/>
      <c r="N91" s="2" t="inlineStr"/>
      <c r="O91" s="2" t="inlineStr"/>
    </row>
    <row r="92" ht="16" customHeight="1">
      <c r="A92" s="22" t="inlineStr">
        <is>
          <t>Associate Developer Co-op - Financial Services</t>
        </is>
      </c>
      <c r="B92" s="22" t="inlineStr">
        <is>
          <t>Dordt University</t>
        </is>
      </c>
      <c r="C92" s="23" t="inlineStr">
        <is>
          <t>2026-03-18</t>
        </is>
      </c>
      <c r="D92" s="23" t="n">
        <v>2</v>
      </c>
      <c r="E92" s="23" t="inlineStr">
        <is>
          <t>PA</t>
        </is>
      </c>
      <c r="F92" s="24" t="n">
        <v>4</v>
      </c>
      <c r="G92" s="23" t="inlineStr">
        <is>
          <t>Simplify</t>
        </is>
      </c>
      <c r="H92" s="22" t="inlineStr">
        <is>
          <t>State College, PA</t>
        </is>
      </c>
      <c r="I92" s="25">
        <f>HYPERLINK("https://ibmglobal.avature.net/en_US/careers/JobDetail?jobId=104341","↗")</f>
        <v/>
      </c>
      <c r="J92" s="23" t="inlineStr">
        <is>
          <t>No</t>
        </is>
      </c>
      <c r="K92" s="23" t="inlineStr"/>
      <c r="L92" s="22" t="inlineStr"/>
      <c r="M92" s="22" t="inlineStr"/>
      <c r="N92" s="22" t="inlineStr"/>
      <c r="O92" s="22" t="inlineStr"/>
    </row>
    <row r="93" ht="16" customHeight="1">
      <c r="A93" s="16" t="inlineStr">
        <is>
          <t>Software Engineering Intern</t>
        </is>
      </c>
      <c r="B93" s="16" t="inlineStr">
        <is>
          <t>Urban Science</t>
        </is>
      </c>
      <c r="C93" s="17" t="inlineStr">
        <is>
          <t>2026-03-18</t>
        </is>
      </c>
      <c r="D93" s="17" t="n">
        <v>2</v>
      </c>
      <c r="E93" s="17" t="inlineStr">
        <is>
          <t>MI</t>
        </is>
      </c>
      <c r="F93" s="7" t="n">
        <v>11</v>
      </c>
      <c r="G93" s="17" t="inlineStr">
        <is>
          <t>AlmondCroffle</t>
        </is>
      </c>
      <c r="H93" s="16" t="inlineStr">
        <is>
          <t>Detroit, MI</t>
        </is>
      </c>
      <c r="I93" s="18">
        <f>HYPERLINK("https://careers-urbanscience.icims.com/jobs/5145/software-engineering-intern--summer-2026--detroit%2c-mi/job","↗")</f>
        <v/>
      </c>
      <c r="J93" s="17" t="inlineStr">
        <is>
          <t>No</t>
        </is>
      </c>
      <c r="K93" s="17" t="inlineStr"/>
      <c r="L93" s="16" t="inlineStr"/>
      <c r="M93" s="16" t="inlineStr"/>
      <c r="N93" s="16" t="inlineStr"/>
      <c r="O93" s="16" t="inlineStr"/>
    </row>
    <row r="94" ht="16" customHeight="1">
      <c r="A94" s="19" t="inlineStr">
        <is>
          <t>Intern IT - Application Development, Manufacturing Software</t>
        </is>
      </c>
      <c r="B94" s="19" t="inlineStr">
        <is>
          <t>Generac</t>
        </is>
      </c>
      <c r="C94" s="20" t="inlineStr">
        <is>
          <t>2026-03-18</t>
        </is>
      </c>
      <c r="D94" s="20" t="n">
        <v>2</v>
      </c>
      <c r="E94" s="20" t="inlineStr">
        <is>
          <t>WA</t>
        </is>
      </c>
      <c r="F94" s="32" t="n">
        <v>5</v>
      </c>
      <c r="G94" s="20" t="inlineStr">
        <is>
          <t>AlmondCroffle</t>
        </is>
      </c>
      <c r="H94" s="19" t="inlineStr">
        <is>
          <t>Waukesha, WI</t>
        </is>
      </c>
      <c r="I94" s="21">
        <f>HYPERLINK("https://generac.wd5.myworkdayjobs.com/en-US/external/job/Waukesha-WI---USA/Intern-IT---Application-Development--Manufacturing-Software_JR12526","↗")</f>
        <v/>
      </c>
      <c r="J94" s="20" t="inlineStr">
        <is>
          <t>No</t>
        </is>
      </c>
      <c r="K94" s="20" t="inlineStr"/>
      <c r="L94" s="19" t="inlineStr"/>
      <c r="M94" s="19" t="inlineStr"/>
      <c r="N94" s="19" t="inlineStr"/>
      <c r="O94" s="19" t="inlineStr"/>
    </row>
    <row r="95" ht="16" customHeight="1">
      <c r="A95" s="16" t="inlineStr">
        <is>
          <t>Software Engineering Intern: Developer Experience</t>
        </is>
      </c>
      <c r="B95" s="16" t="inlineStr">
        <is>
          <t>Apptronik</t>
        </is>
      </c>
      <c r="C95" s="17" t="inlineStr">
        <is>
          <t>2026-03-18</t>
        </is>
      </c>
      <c r="D95" s="17" t="n">
        <v>2</v>
      </c>
      <c r="E95" s="17" t="inlineStr">
        <is>
          <t>TX</t>
        </is>
      </c>
      <c r="F95" s="6" t="n">
        <v>13</v>
      </c>
      <c r="G95" s="17" t="inlineStr">
        <is>
          <t>AlmondCroffle</t>
        </is>
      </c>
      <c r="H95" s="16" t="inlineStr">
        <is>
          <t>Austin, TX</t>
        </is>
      </c>
      <c r="I95" s="18">
        <f>HYPERLINK("https://job-boards.greenhouse.io/apptronik/jobs/5828414004?gh_jid=5828414004","↗")</f>
        <v/>
      </c>
      <c r="J95" s="17" t="inlineStr">
        <is>
          <t>No</t>
        </is>
      </c>
      <c r="K95" s="17" t="inlineStr"/>
      <c r="L95" s="16" t="inlineStr"/>
      <c r="M95" s="16" t="inlineStr"/>
      <c r="N95" s="16" t="inlineStr"/>
      <c r="O95" s="16" t="inlineStr"/>
    </row>
    <row r="96" ht="16" customHeight="1">
      <c r="A96" s="2" t="inlineStr">
        <is>
          <t>Software Engineer Intern</t>
        </is>
      </c>
      <c r="B96" s="2" t="inlineStr">
        <is>
          <t>Thomson Reuters</t>
        </is>
      </c>
      <c r="C96" s="3" t="inlineStr">
        <is>
          <t>2026-03-18</t>
        </is>
      </c>
      <c r="D96" s="3" t="n">
        <v>2</v>
      </c>
      <c r="E96" s="3" t="inlineStr"/>
      <c r="F96" s="4" t="n">
        <v>7</v>
      </c>
      <c r="G96" s="3" t="inlineStr">
        <is>
          <t>Simplify</t>
        </is>
      </c>
      <c r="H96" s="2" t="inlineStr">
        <is>
          <t>Eagan, MN</t>
        </is>
      </c>
      <c r="I96" s="5">
        <f>HYPERLINK("https://thomsonreuters.wd5.myworkdayjobs.com/en-US/External_Career_Site/job/United-States-of-America-Eagan-Minnesota/Software-Engineer-Intern_JREQ199322","↗")</f>
        <v/>
      </c>
      <c r="J96" s="3" t="inlineStr">
        <is>
          <t>No</t>
        </is>
      </c>
      <c r="K96" s="3" t="inlineStr"/>
      <c r="L96" s="2" t="inlineStr"/>
      <c r="M96" s="2" t="inlineStr"/>
      <c r="N96" s="2" t="inlineStr"/>
      <c r="O96" s="2" t="inlineStr"/>
    </row>
    <row r="97" ht="16" customHeight="1">
      <c r="A97" s="8" t="inlineStr">
        <is>
          <t>Software Engineer Intern</t>
        </is>
      </c>
      <c r="B97" s="8" t="inlineStr">
        <is>
          <t>EverCommerce</t>
        </is>
      </c>
      <c r="C97" s="9" t="inlineStr">
        <is>
          <t>2026-03-18</t>
        </is>
      </c>
      <c r="D97" s="9" t="n">
        <v>2</v>
      </c>
      <c r="E97" s="9" t="inlineStr">
        <is>
          <t>Remote</t>
        </is>
      </c>
      <c r="F97" s="11" t="n">
        <v>7</v>
      </c>
      <c r="G97" s="9" t="inlineStr">
        <is>
          <t>Simplify</t>
        </is>
      </c>
      <c r="H97" s="8" t="inlineStr">
        <is>
          <t>Remote in USA</t>
        </is>
      </c>
      <c r="I97" s="10">
        <f>HYPERLINK("https://evercommerce.wd1.myworkdayjobs.com/evercommerce_careers/job/Remote--US/EverHealth---Software-Engineer-Internship--Remote--US-_R-106034","↗")</f>
        <v/>
      </c>
      <c r="J97" s="9" t="inlineStr">
        <is>
          <t>No</t>
        </is>
      </c>
      <c r="K97" s="9" t="inlineStr"/>
      <c r="L97" s="8" t="inlineStr"/>
      <c r="M97" s="8" t="inlineStr"/>
      <c r="N97" s="8" t="inlineStr"/>
      <c r="O97" s="8" t="inlineStr"/>
    </row>
    <row r="98" ht="16" customHeight="1">
      <c r="A98" s="33" t="inlineStr">
        <is>
          <t>Software Engineering Intern</t>
        </is>
      </c>
      <c r="B98" s="12" t="inlineStr">
        <is>
          <t>Judi Health</t>
        </is>
      </c>
      <c r="C98" s="13" t="inlineStr">
        <is>
          <t>2026-03-18</t>
        </is>
      </c>
      <c r="D98" s="13" t="n">
        <v>2</v>
      </c>
      <c r="E98" s="13" t="inlineStr">
        <is>
          <t>NY</t>
        </is>
      </c>
      <c r="F98" s="7" t="n">
        <v>11</v>
      </c>
      <c r="G98" s="13" t="inlineStr">
        <is>
          <t>Simplify</t>
        </is>
      </c>
      <c r="H98" s="12" t="inlineStr">
        <is>
          <t>NYC, Denver, CO</t>
        </is>
      </c>
      <c r="I98" s="15">
        <f>HYPERLINK("https://job-boards.greenhouse.io/capitalrx/jobs/5156440008","↗")</f>
        <v/>
      </c>
      <c r="J98" s="34" t="inlineStr">
        <is>
          <t>Yes</t>
        </is>
      </c>
      <c r="K98" s="13" t="inlineStr"/>
      <c r="L98" s="12" t="inlineStr"/>
      <c r="M98" s="12" t="inlineStr"/>
      <c r="N98" s="12" t="inlineStr"/>
      <c r="O98" s="12" t="inlineStr"/>
    </row>
    <row r="99" ht="16" customHeight="1">
      <c r="A99" s="8" t="inlineStr">
        <is>
          <t>Software Engineering Intern</t>
        </is>
      </c>
      <c r="B99" s="8" t="inlineStr">
        <is>
          <t>Givelify</t>
        </is>
      </c>
      <c r="C99" s="9" t="inlineStr">
        <is>
          <t>2026-03-18</t>
        </is>
      </c>
      <c r="D99" s="9" t="n">
        <v>2</v>
      </c>
      <c r="E99" s="9" t="inlineStr">
        <is>
          <t>Remote</t>
        </is>
      </c>
      <c r="F99" s="7" t="n">
        <v>11</v>
      </c>
      <c r="G99" s="9" t="inlineStr">
        <is>
          <t>Simplify</t>
        </is>
      </c>
      <c r="H99" s="8" t="inlineStr">
        <is>
          <t>Remote in USA, Remote in Canada</t>
        </is>
      </c>
      <c r="I99" s="10">
        <f>HYPERLINK("https://www.givelify.com/about-us/careers/job-openings/?gh_jid=8466071002","↗")</f>
        <v/>
      </c>
      <c r="J99" s="9" t="inlineStr">
        <is>
          <t>No</t>
        </is>
      </c>
      <c r="K99" s="9" t="inlineStr"/>
      <c r="L99" s="8" t="inlineStr"/>
      <c r="M99" s="8" t="inlineStr"/>
      <c r="N99" s="8" t="inlineStr"/>
      <c r="O99" s="8" t="inlineStr"/>
    </row>
    <row r="100" ht="16" customHeight="1">
      <c r="A100" s="2" t="inlineStr">
        <is>
          <t>AI / Agentic AI / GenAI Intern - IT</t>
        </is>
      </c>
      <c r="B100" s="2" t="inlineStr">
        <is>
          <t>Cadence Design Systems</t>
        </is>
      </c>
      <c r="C100" s="3" t="inlineStr">
        <is>
          <t>2026-03-18</t>
        </is>
      </c>
      <c r="D100" s="3" t="n">
        <v>2</v>
      </c>
      <c r="E100" s="3" t="inlineStr">
        <is>
          <t>CA</t>
        </is>
      </c>
      <c r="F100" s="4" t="n">
        <v>4</v>
      </c>
      <c r="G100" s="3" t="inlineStr">
        <is>
          <t>Simplify</t>
        </is>
      </c>
      <c r="H100" s="2" t="inlineStr">
        <is>
          <t>San Jose, CA</t>
        </is>
      </c>
      <c r="I100" s="5">
        <f>HYPERLINK("https://cadence.wd1.myworkdayjobs.com/University_Talent/job/SAN-JOSE/AI---Agentic-AI---GenAI-Intern---IT--Summer--Fall-2026-in-San-Jose-_R53712-1","↗")</f>
        <v/>
      </c>
      <c r="J100" s="3" t="inlineStr">
        <is>
          <t>No</t>
        </is>
      </c>
      <c r="K100" s="3" t="inlineStr"/>
      <c r="L100" s="2" t="inlineStr"/>
      <c r="M100" s="2" t="inlineStr"/>
      <c r="N100" s="2" t="inlineStr"/>
      <c r="O100" s="2" t="inlineStr"/>
    </row>
    <row r="101" ht="16" customHeight="1">
      <c r="A101" s="2" t="inlineStr">
        <is>
          <t>AI Agentic AI GenAI Intern - Information Technology</t>
        </is>
      </c>
      <c r="B101" s="2" t="inlineStr">
        <is>
          <t>Cadence Design Systems</t>
        </is>
      </c>
      <c r="C101" s="3" t="inlineStr">
        <is>
          <t>2026-03-18</t>
        </is>
      </c>
      <c r="D101" s="3" t="n">
        <v>2</v>
      </c>
      <c r="E101" s="3" t="inlineStr">
        <is>
          <t>CA</t>
        </is>
      </c>
      <c r="F101" s="4" t="n">
        <v>4</v>
      </c>
      <c r="G101" s="3" t="inlineStr">
        <is>
          <t>Simplify</t>
        </is>
      </c>
      <c r="H101" s="2" t="inlineStr">
        <is>
          <t>San Jose, CA</t>
        </is>
      </c>
      <c r="I101" s="5">
        <f>HYPERLINK("https://cadence.wd1.myworkdayjobs.com/Univ_Careers/job/SAN-JOSE/AI---Agentic-AI---GenAI-Intern---IT--Summer--Fall-2026-in-San-Jose-_R53712-2","↗")</f>
        <v/>
      </c>
      <c r="J101" s="3" t="inlineStr">
        <is>
          <t>No</t>
        </is>
      </c>
      <c r="K101" s="3" t="inlineStr"/>
      <c r="L101" s="2" t="inlineStr"/>
      <c r="M101" s="2" t="inlineStr"/>
      <c r="N101" s="2" t="inlineStr"/>
      <c r="O101" s="2" t="inlineStr"/>
    </row>
    <row r="102" ht="16" customHeight="1">
      <c r="A102" s="2" t="inlineStr">
        <is>
          <t>AI / Agentic AI / GenAI Intern - IT</t>
        </is>
      </c>
      <c r="B102" s="2" t="inlineStr">
        <is>
          <t>Cadence Design Systems</t>
        </is>
      </c>
      <c r="C102" s="3" t="inlineStr">
        <is>
          <t>2026-03-18</t>
        </is>
      </c>
      <c r="D102" s="3" t="n">
        <v>2</v>
      </c>
      <c r="E102" s="3" t="inlineStr">
        <is>
          <t>CA</t>
        </is>
      </c>
      <c r="F102" s="4" t="n">
        <v>4</v>
      </c>
      <c r="G102" s="3" t="inlineStr">
        <is>
          <t>Simplify</t>
        </is>
      </c>
      <c r="H102" s="2" t="inlineStr">
        <is>
          <t>San Jose, CA</t>
        </is>
      </c>
      <c r="I102" s="5">
        <f>HYPERLINK("https://cadence.wd1.myworkdayjobs.com/University_Talent_Intern/job/SAN-JOSE/AI---Agentic-AI---GenAI-Intern---IT--Summer--Fall-2026-in-San-Jose-_R53712","↗")</f>
        <v/>
      </c>
      <c r="J102" s="3" t="inlineStr">
        <is>
          <t>No</t>
        </is>
      </c>
      <c r="K102" s="3" t="inlineStr"/>
      <c r="L102" s="2" t="inlineStr"/>
      <c r="M102" s="2" t="inlineStr"/>
      <c r="N102" s="2" t="inlineStr"/>
      <c r="O102" s="2" t="inlineStr"/>
    </row>
    <row r="103" ht="16" customHeight="1">
      <c r="A103" s="2" t="inlineStr">
        <is>
          <t>Intern - ADAS HW Systems Validation</t>
        </is>
      </c>
      <c r="B103" s="2" t="inlineStr">
        <is>
          <t>Rivian</t>
        </is>
      </c>
      <c r="C103" s="3" t="inlineStr">
        <is>
          <t>2026-03-18</t>
        </is>
      </c>
      <c r="D103" s="3" t="n">
        <v>2</v>
      </c>
      <c r="E103" s="3" t="inlineStr">
        <is>
          <t>IL</t>
        </is>
      </c>
      <c r="F103" s="4" t="n">
        <v>4</v>
      </c>
      <c r="G103" s="3" t="inlineStr">
        <is>
          <t>Simplify</t>
        </is>
      </c>
      <c r="H103" s="2" t="inlineStr">
        <is>
          <t>Urbana, IL</t>
        </is>
      </c>
      <c r="I103" s="5">
        <f>HYPERLINK("https://careers.rivian.com/jobs/29842?lang=en-us&amp;icims=1","↗")</f>
        <v/>
      </c>
      <c r="J103" s="3" t="inlineStr">
        <is>
          <t>No</t>
        </is>
      </c>
      <c r="K103" s="3" t="inlineStr"/>
      <c r="L103" s="2" t="inlineStr"/>
      <c r="M103" s="2" t="inlineStr"/>
      <c r="N103" s="2" t="inlineStr"/>
      <c r="O103" s="2" t="inlineStr"/>
    </row>
    <row r="104" ht="16" customHeight="1">
      <c r="A104" s="2" t="inlineStr">
        <is>
          <t>UIUC Research Park Intern - Machine Learning Hardware</t>
        </is>
      </c>
      <c r="B104" s="2" t="inlineStr">
        <is>
          <t>Rivian</t>
        </is>
      </c>
      <c r="C104" s="3" t="inlineStr">
        <is>
          <t>2026-03-18</t>
        </is>
      </c>
      <c r="D104" s="3" t="n">
        <v>2</v>
      </c>
      <c r="E104" s="3" t="inlineStr">
        <is>
          <t>IL</t>
        </is>
      </c>
      <c r="F104" s="4" t="n">
        <v>4</v>
      </c>
      <c r="G104" s="3" t="inlineStr">
        <is>
          <t>Simplify</t>
        </is>
      </c>
      <c r="H104" s="2" t="inlineStr">
        <is>
          <t>Urbana, IL</t>
        </is>
      </c>
      <c r="I104" s="5">
        <f>HYPERLINK("https://careers.rivian.com/jobs/29848?lang=en-us&amp;icims=1","↗")</f>
        <v/>
      </c>
      <c r="J104" s="3" t="inlineStr">
        <is>
          <t>No</t>
        </is>
      </c>
      <c r="K104" s="3" t="inlineStr"/>
      <c r="L104" s="2" t="inlineStr"/>
      <c r="M104" s="2" t="inlineStr"/>
      <c r="N104" s="2" t="inlineStr"/>
      <c r="O104" s="2" t="inlineStr"/>
    </row>
    <row r="105" ht="16" customHeight="1">
      <c r="A105" s="2" t="inlineStr">
        <is>
          <t>Software Engineer Intern</t>
        </is>
      </c>
      <c r="B105" s="2" t="inlineStr">
        <is>
          <t xml:space="preserve">Creatify Lab </t>
        </is>
      </c>
      <c r="C105" s="3" t="inlineStr">
        <is>
          <t>2026-03-18</t>
        </is>
      </c>
      <c r="D105" s="3" t="n">
        <v>2</v>
      </c>
      <c r="E105" s="3" t="inlineStr">
        <is>
          <t>CA</t>
        </is>
      </c>
      <c r="F105" s="7" t="n">
        <v>9</v>
      </c>
      <c r="G105" s="3" t="inlineStr">
        <is>
          <t>Simplify</t>
        </is>
      </c>
      <c r="H105" s="2" t="inlineStr">
        <is>
          <t>Mountain View, CA</t>
        </is>
      </c>
      <c r="I105" s="5">
        <f>HYPERLINK("https://jobs.ashbyhq.com/creatify/75a1f1ad-13d2-4513-952c-71b6dfcaa84f/application","↗")</f>
        <v/>
      </c>
      <c r="J105" s="3" t="inlineStr">
        <is>
          <t>No</t>
        </is>
      </c>
      <c r="K105" s="3" t="inlineStr"/>
      <c r="L105" s="2" t="inlineStr"/>
      <c r="M105" s="2" t="inlineStr"/>
      <c r="N105" s="2" t="inlineStr"/>
      <c r="O105" s="2" t="inlineStr"/>
    </row>
    <row r="106" ht="16" customHeight="1">
      <c r="A106" s="2" t="inlineStr">
        <is>
          <t>Intern Engineer</t>
        </is>
      </c>
      <c r="B106" s="2" t="inlineStr">
        <is>
          <t>General Dynamics Mission Systems</t>
        </is>
      </c>
      <c r="C106" s="3" t="inlineStr">
        <is>
          <t>2026-03-17</t>
        </is>
      </c>
      <c r="D106" s="3" t="n">
        <v>3</v>
      </c>
      <c r="E106" s="3" t="inlineStr">
        <is>
          <t>MA</t>
        </is>
      </c>
      <c r="F106" s="4" t="n">
        <v>5</v>
      </c>
      <c r="G106" s="3" t="inlineStr">
        <is>
          <t>Simplify</t>
        </is>
      </c>
      <c r="H106" s="2" t="inlineStr">
        <is>
          <t>Pittsfield, MA</t>
        </is>
      </c>
      <c r="I106" s="5">
        <f>HYPERLINK("https://careers-gdms.icims.com/jobs/71195/job?mobile=true&amp;needsRedirect=false","↗")</f>
        <v/>
      </c>
      <c r="J106" s="3" t="inlineStr">
        <is>
          <t>No</t>
        </is>
      </c>
      <c r="K106" s="3" t="inlineStr"/>
      <c r="L106" s="2" t="inlineStr"/>
      <c r="M106" s="2" t="inlineStr"/>
      <c r="N106" s="2" t="inlineStr"/>
      <c r="O106" s="2" t="inlineStr"/>
    </row>
    <row r="107" ht="16" customHeight="1">
      <c r="A107" s="2" t="inlineStr">
        <is>
          <t>Software Engineer Intern</t>
        </is>
      </c>
      <c r="B107" s="2" t="inlineStr">
        <is>
          <t>Baxter International</t>
        </is>
      </c>
      <c r="C107" s="3" t="inlineStr">
        <is>
          <t>2026-03-17</t>
        </is>
      </c>
      <c r="D107" s="3" t="n">
        <v>3</v>
      </c>
      <c r="E107" s="3" t="inlineStr">
        <is>
          <t>NC</t>
        </is>
      </c>
      <c r="F107" s="4" t="n">
        <v>7</v>
      </c>
      <c r="G107" s="3" t="inlineStr">
        <is>
          <t>Simplify</t>
        </is>
      </c>
      <c r="H107" s="2" t="inlineStr">
        <is>
          <t>Raleigh, NC</t>
        </is>
      </c>
      <c r="I107" s="5">
        <f>HYPERLINK("https://baxter.wd1.myworkdayjobs.com/en-US/baxter/job/Raleigh-North-Carolina/Software-Engineer-Intern---Summer-2026_JR-196243-1","↗")</f>
        <v/>
      </c>
      <c r="J107" s="3" t="inlineStr">
        <is>
          <t>No</t>
        </is>
      </c>
      <c r="K107" s="3" t="inlineStr"/>
      <c r="L107" s="2" t="inlineStr"/>
      <c r="M107" s="2" t="inlineStr"/>
      <c r="N107" s="2" t="inlineStr"/>
      <c r="O107" s="2" t="inlineStr"/>
    </row>
    <row r="108" ht="16" customHeight="1">
      <c r="A108" s="2" t="inlineStr">
        <is>
          <t>National Security Solutions Intern - NVIDIA GPU</t>
        </is>
      </c>
      <c r="B108" s="2" t="inlineStr">
        <is>
          <t>KBR</t>
        </is>
      </c>
      <c r="C108" s="3" t="inlineStr">
        <is>
          <t>2026-03-17</t>
        </is>
      </c>
      <c r="D108" s="3" t="n">
        <v>3</v>
      </c>
      <c r="E108" s="3" t="inlineStr"/>
      <c r="F108" s="4" t="n">
        <v>4</v>
      </c>
      <c r="G108" s="3" t="inlineStr">
        <is>
          <t>Simplify</t>
        </is>
      </c>
      <c r="H108" s="2" t="inlineStr">
        <is>
          <t>Huntsville, AL</t>
        </is>
      </c>
      <c r="I108" s="5">
        <f>HYPERLINK("https://kbr.wd5.myworkdayjobs.com/KBR_Careers/job/Huntsville-Alabama/National-Security-Solutions--NSS--Internship---Accelerated-Electronic-Warfare-Modeling---Simulation--NVIDIA-GPU-_R2120565","↗")</f>
        <v/>
      </c>
      <c r="J108" s="3" t="inlineStr">
        <is>
          <t>No</t>
        </is>
      </c>
      <c r="K108" s="3" t="inlineStr"/>
      <c r="L108" s="2" t="inlineStr"/>
      <c r="M108" s="2" t="inlineStr"/>
      <c r="N108" s="2" t="inlineStr"/>
      <c r="O108" s="2" t="inlineStr"/>
    </row>
    <row r="109" ht="16" customHeight="1">
      <c r="A109" s="2" t="inlineStr">
        <is>
          <t>National Security Solutions Intern - Nss</t>
        </is>
      </c>
      <c r="B109" s="2" t="inlineStr">
        <is>
          <t>KBR</t>
        </is>
      </c>
      <c r="C109" s="3" t="inlineStr">
        <is>
          <t>2026-03-17</t>
        </is>
      </c>
      <c r="D109" s="3" t="n">
        <v>3</v>
      </c>
      <c r="E109" s="3" t="inlineStr"/>
      <c r="F109" s="4" t="n">
        <v>4</v>
      </c>
      <c r="G109" s="3" t="inlineStr">
        <is>
          <t>Simplify</t>
        </is>
      </c>
      <c r="H109" s="2" t="inlineStr">
        <is>
          <t>Huntsville, AL</t>
        </is>
      </c>
      <c r="I109" s="5">
        <f>HYPERLINK("https://kbr.wd5.myworkdayjobs.com/KBR_Careers/job/Huntsville-Alabama/National-Security-Solutions--NSS--Internship---Electronic-Warfare-Knowledge-Graph---AI-Analytics_R2120571","↗")</f>
        <v/>
      </c>
      <c r="J109" s="3" t="inlineStr">
        <is>
          <t>No</t>
        </is>
      </c>
      <c r="K109" s="3" t="inlineStr"/>
      <c r="L109" s="2" t="inlineStr"/>
      <c r="M109" s="2" t="inlineStr"/>
      <c r="N109" s="2" t="inlineStr"/>
      <c r="O109" s="2" t="inlineStr"/>
    </row>
    <row r="110" ht="16" customHeight="1">
      <c r="A110" s="2" t="inlineStr">
        <is>
          <t>Data Science Intern</t>
        </is>
      </c>
      <c r="B110" s="2" t="inlineStr">
        <is>
          <t>University of Chicago</t>
        </is>
      </c>
      <c r="C110" s="3" t="inlineStr">
        <is>
          <t>2026-03-17</t>
        </is>
      </c>
      <c r="D110" s="3" t="n">
        <v>3</v>
      </c>
      <c r="E110" s="3" t="inlineStr">
        <is>
          <t>IL</t>
        </is>
      </c>
      <c r="F110" s="4" t="n">
        <v>5</v>
      </c>
      <c r="G110" s="3" t="inlineStr">
        <is>
          <t>Simplify</t>
        </is>
      </c>
      <c r="H110" s="2" t="inlineStr">
        <is>
          <t>Chicago, IL</t>
        </is>
      </c>
      <c r="I110" s="5">
        <f>HYPERLINK("https://uchicago.wd5.myworkdayjobs.com/External/job/Chicago-IL/Temporary-Data-Science-Intern_JR33013","↗")</f>
        <v/>
      </c>
      <c r="J110" s="3" t="inlineStr">
        <is>
          <t>No</t>
        </is>
      </c>
      <c r="K110" s="3" t="inlineStr"/>
      <c r="L110" s="2" t="inlineStr"/>
      <c r="M110" s="2" t="inlineStr"/>
      <c r="N110" s="2" t="inlineStr"/>
      <c r="O110" s="2" t="inlineStr"/>
    </row>
    <row r="111" ht="16" customHeight="1">
      <c r="A111" s="2" t="inlineStr">
        <is>
          <t>Software Engineer Intern</t>
        </is>
      </c>
      <c r="B111" s="2" t="inlineStr">
        <is>
          <t>Particle Measuring Systems</t>
        </is>
      </c>
      <c r="C111" s="3" t="inlineStr">
        <is>
          <t>2026-03-17</t>
        </is>
      </c>
      <c r="D111" s="3" t="n">
        <v>3</v>
      </c>
      <c r="E111" s="3" t="inlineStr">
        <is>
          <t>CO</t>
        </is>
      </c>
      <c r="F111" s="7" t="n">
        <v>9</v>
      </c>
      <c r="G111" s="3" t="inlineStr">
        <is>
          <t>Simplify</t>
        </is>
      </c>
      <c r="H111" s="2" t="inlineStr">
        <is>
          <t>Longmont, CO</t>
        </is>
      </c>
      <c r="I111" s="5">
        <f>HYPERLINK("https://spectris.wd3.myworkdayjobs.com/PMS_Careers/job/Niwot-CO/Software-Engineering-Intern_17610","↗")</f>
        <v/>
      </c>
      <c r="J111" s="3" t="inlineStr">
        <is>
          <t>No</t>
        </is>
      </c>
      <c r="K111" s="3" t="inlineStr"/>
      <c r="L111" s="2" t="inlineStr"/>
      <c r="M111" s="2" t="inlineStr"/>
      <c r="N111" s="2" t="inlineStr"/>
      <c r="O111" s="2" t="inlineStr"/>
    </row>
    <row r="112" ht="16" customHeight="1">
      <c r="A112" s="2" t="inlineStr">
        <is>
          <t>Software Development Engineer Intern</t>
        </is>
      </c>
      <c r="B112" s="2" t="inlineStr">
        <is>
          <t>Curtiss-Wright Corporation</t>
        </is>
      </c>
      <c r="C112" s="3" t="inlineStr">
        <is>
          <t>2026-03-17</t>
        </is>
      </c>
      <c r="D112" s="3" t="n">
        <v>3</v>
      </c>
      <c r="E112" s="3" t="inlineStr"/>
      <c r="F112" s="4" t="n">
        <v>5</v>
      </c>
      <c r="G112" s="3" t="inlineStr">
        <is>
          <t>Simplify</t>
        </is>
      </c>
      <c r="H112" s="2" t="inlineStr">
        <is>
          <t>Eden Prairie, MN</t>
        </is>
      </c>
      <c r="I112" s="5">
        <f>HYPERLINK("https://curtisswright.wd1.myworkdayjobs.com/cw_external_career_site/job/US-MN-Chanhassen-Exlar/Software-Development-Engineer-Intern_JR11449","↗")</f>
        <v/>
      </c>
      <c r="J112" s="3" t="inlineStr">
        <is>
          <t>No</t>
        </is>
      </c>
      <c r="K112" s="3" t="inlineStr"/>
      <c r="L112" s="2" t="inlineStr"/>
      <c r="M112" s="2" t="inlineStr"/>
      <c r="N112" s="2" t="inlineStr"/>
      <c r="O112" s="2" t="inlineStr"/>
    </row>
    <row r="113" ht="16" customHeight="1">
      <c r="A113" s="2" t="inlineStr">
        <is>
          <t>Intern – Application Developer</t>
        </is>
      </c>
      <c r="B113" s="2" t="inlineStr">
        <is>
          <t>Ryder System</t>
        </is>
      </c>
      <c r="C113" s="3" t="inlineStr">
        <is>
          <t>2026-03-17</t>
        </is>
      </c>
      <c r="D113" s="3" t="n">
        <v>3</v>
      </c>
      <c r="E113" s="3" t="inlineStr">
        <is>
          <t>FL</t>
        </is>
      </c>
      <c r="F113" s="4" t="n">
        <v>4</v>
      </c>
      <c r="G113" s="3" t="inlineStr">
        <is>
          <t>Simplify</t>
        </is>
      </c>
      <c r="H113" s="2" t="inlineStr">
        <is>
          <t>Miami, FL</t>
        </is>
      </c>
      <c r="I113" s="5">
        <f>HYPERLINK("https://ryder.wd5.myworkdayjobs.com/RyderCareers/job/USA---Miami-FL-33178/Intern---Application-Developer_R164492","↗")</f>
        <v/>
      </c>
      <c r="J113" s="3" t="inlineStr">
        <is>
          <t>No</t>
        </is>
      </c>
      <c r="K113" s="3" t="inlineStr"/>
      <c r="L113" s="2" t="inlineStr"/>
      <c r="M113" s="2" t="inlineStr"/>
      <c r="N113" s="2" t="inlineStr"/>
      <c r="O113" s="2" t="inlineStr"/>
    </row>
    <row r="114" ht="16" customHeight="1">
      <c r="A114" s="2" t="inlineStr">
        <is>
          <t>Data Engineer Intern</t>
        </is>
      </c>
      <c r="B114" s="2" t="inlineStr">
        <is>
          <t>Stewart</t>
        </is>
      </c>
      <c r="C114" s="3" t="inlineStr">
        <is>
          <t>2026-03-17</t>
        </is>
      </c>
      <c r="D114" s="3" t="n">
        <v>3</v>
      </c>
      <c r="E114" s="3" t="inlineStr">
        <is>
          <t>TX</t>
        </is>
      </c>
      <c r="F114" s="4" t="n">
        <v>4</v>
      </c>
      <c r="G114" s="3" t="inlineStr">
        <is>
          <t>Simplify</t>
        </is>
      </c>
      <c r="H114" s="2" t="inlineStr">
        <is>
          <t>Houston, TX</t>
        </is>
      </c>
      <c r="I114" s="5">
        <f>HYPERLINK("https://stewart.wd1.myworkdayjobs.com/External/job/USA-TX-Houston---1360-Post-Oak-Blvd/Data-Engineer-Intern_INTERN164","↗")</f>
        <v/>
      </c>
      <c r="J114" s="3" t="inlineStr">
        <is>
          <t>No</t>
        </is>
      </c>
      <c r="K114" s="3" t="inlineStr"/>
      <c r="L114" s="2" t="inlineStr"/>
      <c r="M114" s="2" t="inlineStr"/>
      <c r="N114" s="2" t="inlineStr"/>
      <c r="O114" s="2" t="inlineStr"/>
    </row>
    <row r="115" ht="16" customHeight="1">
      <c r="A115" s="2" t="inlineStr">
        <is>
          <t>Software Engineering Intern</t>
        </is>
      </c>
      <c r="B115" s="2" t="inlineStr">
        <is>
          <t>Ivo</t>
        </is>
      </c>
      <c r="C115" s="3" t="inlineStr">
        <is>
          <t>2026-03-17</t>
        </is>
      </c>
      <c r="D115" s="3" t="n">
        <v>3</v>
      </c>
      <c r="E115" s="3" t="inlineStr"/>
      <c r="F115" s="7" t="n">
        <v>11</v>
      </c>
      <c r="G115" s="3" t="inlineStr">
        <is>
          <t>Simplify</t>
        </is>
      </c>
      <c r="H115" s="2" t="inlineStr">
        <is>
          <t>SF</t>
        </is>
      </c>
      <c r="I115" s="5">
        <f>HYPERLINK("https://jobs.lever.co/ivo/83b626de-53c8-4505-b0ea-253fdcb83680/apply","↗")</f>
        <v/>
      </c>
      <c r="J115" s="3" t="inlineStr">
        <is>
          <t>No</t>
        </is>
      </c>
      <c r="K115" s="3" t="inlineStr"/>
      <c r="L115" s="2" t="inlineStr"/>
      <c r="M115" s="2" t="inlineStr"/>
      <c r="N115" s="2" t="inlineStr"/>
      <c r="O115" s="2" t="inlineStr"/>
    </row>
    <row r="116" ht="16" customHeight="1">
      <c r="A116" s="2" t="inlineStr">
        <is>
          <t>Co-op - Powertrain Testing</t>
        </is>
      </c>
      <c r="B116" s="2" t="inlineStr">
        <is>
          <t>Robert Bosch Venture Capital</t>
        </is>
      </c>
      <c r="C116" s="3" t="inlineStr">
        <is>
          <t>2026-03-17</t>
        </is>
      </c>
      <c r="D116" s="3" t="n">
        <v>3</v>
      </c>
      <c r="E116" s="3" t="inlineStr">
        <is>
          <t>MI</t>
        </is>
      </c>
      <c r="F116" s="4" t="n">
        <v>4</v>
      </c>
      <c r="G116" s="3" t="inlineStr">
        <is>
          <t>Simplify</t>
        </is>
      </c>
      <c r="H116" s="2" t="inlineStr">
        <is>
          <t>Southfield, MI</t>
        </is>
      </c>
      <c r="I116" s="5">
        <f>HYPERLINK("https://jobs.smartrecruiters.com/BoschGroup/744000115240881","↗")</f>
        <v/>
      </c>
      <c r="J116" s="3" t="inlineStr">
        <is>
          <t>No</t>
        </is>
      </c>
      <c r="K116" s="3" t="inlineStr"/>
      <c r="L116" s="2" t="inlineStr"/>
      <c r="M116" s="2" t="inlineStr"/>
      <c r="N116" s="2" t="inlineStr"/>
      <c r="O116" s="2" t="inlineStr"/>
    </row>
    <row r="117" ht="16" customHeight="1">
      <c r="A117" s="2" t="inlineStr">
        <is>
          <t>Machine Learning Research Intern</t>
        </is>
      </c>
      <c r="B117" s="2" t="inlineStr">
        <is>
          <t>Tahoe Therapeutics</t>
        </is>
      </c>
      <c r="C117" s="3" t="inlineStr">
        <is>
          <t>2026-03-17</t>
        </is>
      </c>
      <c r="D117" s="3" t="n">
        <v>3</v>
      </c>
      <c r="E117" s="3" t="inlineStr">
        <is>
          <t>CA</t>
        </is>
      </c>
      <c r="F117" s="4" t="n">
        <v>6</v>
      </c>
      <c r="G117" s="3" t="inlineStr">
        <is>
          <t>Simplify</t>
        </is>
      </c>
      <c r="H117" s="2" t="inlineStr">
        <is>
          <t>San Bruno, CA</t>
        </is>
      </c>
      <c r="I117" s="5">
        <f>HYPERLINK("https://jobs.lever.co/tahoebio-ai/8c201ed5-7ee1-4fdf-aa6b-fa8efb43c336/apply","↗")</f>
        <v/>
      </c>
      <c r="J117" s="3" t="inlineStr">
        <is>
          <t>No</t>
        </is>
      </c>
      <c r="K117" s="3" t="inlineStr"/>
      <c r="L117" s="2" t="inlineStr"/>
      <c r="M117" s="2" t="inlineStr"/>
      <c r="N117" s="2" t="inlineStr"/>
      <c r="O117" s="2" t="inlineStr"/>
    </row>
    <row r="118" ht="16" customHeight="1">
      <c r="A118" s="2" t="inlineStr">
        <is>
          <t>Intern Software Engineer - Asset Movement Gateway</t>
        </is>
      </c>
      <c r="B118" s="2" t="inlineStr">
        <is>
          <t>SoFi</t>
        </is>
      </c>
      <c r="C118" s="3" t="inlineStr">
        <is>
          <t>2026-03-17</t>
        </is>
      </c>
      <c r="D118" s="3" t="n">
        <v>3</v>
      </c>
      <c r="E118" s="3" t="inlineStr"/>
      <c r="F118" s="4" t="n">
        <v>7</v>
      </c>
      <c r="G118" s="3" t="inlineStr">
        <is>
          <t>Simplify</t>
        </is>
      </c>
      <c r="H118" s="2" t="inlineStr">
        <is>
          <t>SF</t>
        </is>
      </c>
      <c r="I118" s="5">
        <f>HYPERLINK("https://www.sofi.com/careers/sofi-university/7595648003?gh_jid=7595648003","↗")</f>
        <v/>
      </c>
      <c r="J118" s="3" t="inlineStr">
        <is>
          <t>No</t>
        </is>
      </c>
      <c r="K118" s="3" t="inlineStr"/>
      <c r="L118" s="2" t="inlineStr"/>
      <c r="M118" s="2" t="inlineStr"/>
      <c r="N118" s="2" t="inlineStr"/>
      <c r="O118" s="2" t="inlineStr"/>
    </row>
    <row r="119" ht="16" customHeight="1">
      <c r="A119" s="28" t="inlineStr">
        <is>
          <t>AI Intern – Architecture &amp; AI</t>
        </is>
      </c>
      <c r="B119" s="28" t="inlineStr">
        <is>
          <t>LG Electronics</t>
        </is>
      </c>
      <c r="C119" s="29" t="inlineStr">
        <is>
          <t>2026-03-17</t>
        </is>
      </c>
      <c r="D119" s="29" t="n">
        <v>3</v>
      </c>
      <c r="E119" s="29" t="inlineStr">
        <is>
          <t>NJ</t>
        </is>
      </c>
      <c r="F119" s="30" t="n">
        <v>7</v>
      </c>
      <c r="G119" s="29" t="inlineStr">
        <is>
          <t>Simplify</t>
        </is>
      </c>
      <c r="H119" s="28" t="inlineStr">
        <is>
          <t>Englewood, NJ</t>
        </is>
      </c>
      <c r="I119" s="31">
        <f>HYPERLINK("https://job-boards.greenhouse.io/lgelectronics/jobs/5156458008","↗")</f>
        <v/>
      </c>
      <c r="J119" s="29" t="inlineStr">
        <is>
          <t>No</t>
        </is>
      </c>
      <c r="K119" s="29" t="inlineStr"/>
      <c r="L119" s="28" t="inlineStr"/>
      <c r="M119" s="28" t="inlineStr"/>
      <c r="N119" s="28" t="inlineStr"/>
      <c r="O119" s="28" t="inlineStr"/>
    </row>
    <row r="120" ht="16" customHeight="1">
      <c r="A120" s="12" t="inlineStr">
        <is>
          <t>Software Engineer Intern</t>
        </is>
      </c>
      <c r="B120" s="12" t="inlineStr">
        <is>
          <t>The Trade Desk</t>
        </is>
      </c>
      <c r="C120" s="13" t="inlineStr">
        <is>
          <t>2026-03-17</t>
        </is>
      </c>
      <c r="D120" s="13" t="n">
        <v>3</v>
      </c>
      <c r="E120" s="13" t="inlineStr">
        <is>
          <t>NY</t>
        </is>
      </c>
      <c r="F120" s="14" t="n">
        <v>7</v>
      </c>
      <c r="G120" s="13" t="inlineStr">
        <is>
          <t>Simplify</t>
        </is>
      </c>
      <c r="H120" s="12" t="inlineStr">
        <is>
          <t>Irvine, CA, NYC, Bellevue, WA, Denver, CO, Boulder, CO</t>
        </is>
      </c>
      <c r="I120" s="15">
        <f>HYPERLINK("https://job-boards.greenhouse.io/thetradedesk/jobs/4787577007","↗")</f>
        <v/>
      </c>
      <c r="J120" s="13" t="inlineStr">
        <is>
          <t>No</t>
        </is>
      </c>
      <c r="K120" s="13" t="inlineStr"/>
      <c r="L120" s="12" t="inlineStr"/>
      <c r="M120" s="12" t="inlineStr"/>
      <c r="N120" s="12" t="inlineStr"/>
      <c r="O120" s="12" t="inlineStr"/>
    </row>
    <row r="121" ht="16" customHeight="1">
      <c r="A121" s="2" t="inlineStr">
        <is>
          <t>Firmware Engineer Intern</t>
        </is>
      </c>
      <c r="B121" s="2" t="inlineStr">
        <is>
          <t xml:space="preserve">Coherent </t>
        </is>
      </c>
      <c r="C121" s="3" t="inlineStr">
        <is>
          <t>2026-03-17</t>
        </is>
      </c>
      <c r="D121" s="3" t="n">
        <v>3</v>
      </c>
      <c r="E121" s="3" t="inlineStr">
        <is>
          <t>CA</t>
        </is>
      </c>
      <c r="F121" s="4" t="n">
        <v>5</v>
      </c>
      <c r="G121" s="3" t="inlineStr">
        <is>
          <t>Simplify</t>
        </is>
      </c>
      <c r="H121" s="2" t="inlineStr">
        <is>
          <t>Fremont, CA</t>
        </is>
      </c>
      <c r="I121" s="5">
        <f>HYPERLINK("https://hcwp.fa.us2.oraclecloud.com/hcmUI/CandidateExperience/en/sites/CX_1/job/2011322","↗")</f>
        <v/>
      </c>
      <c r="J121" s="3" t="inlineStr">
        <is>
          <t>No</t>
        </is>
      </c>
      <c r="K121" s="3" t="inlineStr"/>
      <c r="L121" s="2" t="inlineStr"/>
      <c r="M121" s="2" t="inlineStr"/>
      <c r="N121" s="2" t="inlineStr"/>
      <c r="O121" s="2" t="inlineStr"/>
    </row>
    <row r="122" ht="16" customHeight="1">
      <c r="A122" s="12" t="inlineStr">
        <is>
          <t>AI / Machine Learning Intern – Graduate level</t>
        </is>
      </c>
      <c r="B122" s="12" t="inlineStr">
        <is>
          <t>Judi Health</t>
        </is>
      </c>
      <c r="C122" s="13" t="inlineStr">
        <is>
          <t>2026-03-17</t>
        </is>
      </c>
      <c r="D122" s="13" t="n">
        <v>3</v>
      </c>
      <c r="E122" s="13" t="inlineStr">
        <is>
          <t>NY</t>
        </is>
      </c>
      <c r="F122" s="14" t="n">
        <v>6</v>
      </c>
      <c r="G122" s="13" t="inlineStr">
        <is>
          <t>Simplify</t>
        </is>
      </c>
      <c r="H122" s="12" t="inlineStr">
        <is>
          <t>NYC, Denver, CO</t>
        </is>
      </c>
      <c r="I122" s="15">
        <f>HYPERLINK("https://job-boards.greenhouse.io/capitalrx/jobs/5153808008","↗")</f>
        <v/>
      </c>
      <c r="J122" s="13" t="inlineStr">
        <is>
          <t>No</t>
        </is>
      </c>
      <c r="K122" s="13" t="inlineStr"/>
      <c r="L122" s="12" t="inlineStr"/>
      <c r="M122" s="12" t="inlineStr"/>
      <c r="N122" s="12" t="inlineStr"/>
      <c r="O122" s="12" t="inlineStr"/>
    </row>
    <row r="123" ht="16" customHeight="1">
      <c r="A123" s="2" t="inlineStr">
        <is>
          <t>Software Engineering Intern-Full Stack / Product</t>
        </is>
      </c>
      <c r="B123" s="2" t="inlineStr">
        <is>
          <t>Digs</t>
        </is>
      </c>
      <c r="C123" s="3" t="inlineStr">
        <is>
          <t>2026-03-17</t>
        </is>
      </c>
      <c r="D123" s="3" t="n">
        <v>3</v>
      </c>
      <c r="E123" s="3" t="inlineStr">
        <is>
          <t>VA</t>
        </is>
      </c>
      <c r="F123" s="6" t="n">
        <v>13</v>
      </c>
      <c r="G123" s="3" t="inlineStr">
        <is>
          <t>Simplify</t>
        </is>
      </c>
      <c r="H123" s="2" t="inlineStr">
        <is>
          <t>Vancouver, WA</t>
        </is>
      </c>
      <c r="I123" s="5">
        <f>HYPERLINK("https://job-boards.greenhouse.io/digs/jobs/4663926006","↗")</f>
        <v/>
      </c>
      <c r="J123" s="3" t="inlineStr">
        <is>
          <t>No</t>
        </is>
      </c>
      <c r="K123" s="3" t="inlineStr"/>
      <c r="L123" s="2" t="inlineStr"/>
      <c r="M123" s="2" t="inlineStr"/>
      <c r="N123" s="2" t="inlineStr"/>
      <c r="O123" s="2" t="inlineStr"/>
    </row>
    <row r="124" ht="16" customHeight="1">
      <c r="A124" s="2" t="inlineStr">
        <is>
          <t>Software Engineering Intern-AI/ML Backend</t>
        </is>
      </c>
      <c r="B124" s="2" t="inlineStr">
        <is>
          <t>Digs</t>
        </is>
      </c>
      <c r="C124" s="3" t="inlineStr">
        <is>
          <t>2026-03-17</t>
        </is>
      </c>
      <c r="D124" s="3" t="n">
        <v>3</v>
      </c>
      <c r="E124" s="3" t="inlineStr">
        <is>
          <t>VA</t>
        </is>
      </c>
      <c r="F124" s="6" t="n">
        <v>16</v>
      </c>
      <c r="G124" s="3" t="inlineStr">
        <is>
          <t>Simplify</t>
        </is>
      </c>
      <c r="H124" s="2" t="inlineStr">
        <is>
          <t>Vancouver, WA</t>
        </is>
      </c>
      <c r="I124" s="5">
        <f>HYPERLINK("https://job-boards.greenhouse.io/digs/jobs/4663936006","↗")</f>
        <v/>
      </c>
      <c r="J124" s="3" t="inlineStr">
        <is>
          <t>No</t>
        </is>
      </c>
      <c r="K124" s="3" t="inlineStr"/>
      <c r="L124" s="2" t="inlineStr"/>
      <c r="M124" s="2" t="inlineStr"/>
      <c r="N124" s="2" t="inlineStr"/>
      <c r="O124" s="2" t="inlineStr"/>
    </row>
    <row r="125" ht="16" customHeight="1">
      <c r="A125" s="12" t="inlineStr">
        <is>
          <t>Software Engineer Intern</t>
        </is>
      </c>
      <c r="B125" s="12" t="inlineStr">
        <is>
          <t xml:space="preserve">Vantage </t>
        </is>
      </c>
      <c r="C125" s="13" t="inlineStr">
        <is>
          <t>2026-03-17</t>
        </is>
      </c>
      <c r="D125" s="13" t="n">
        <v>3</v>
      </c>
      <c r="E125" s="13" t="inlineStr">
        <is>
          <t>NY</t>
        </is>
      </c>
      <c r="F125" s="14" t="n">
        <v>7</v>
      </c>
      <c r="G125" s="13" t="inlineStr">
        <is>
          <t>Simplify</t>
        </is>
      </c>
      <c r="H125" s="12" t="inlineStr">
        <is>
          <t>NYC</t>
        </is>
      </c>
      <c r="I125" s="15">
        <f>HYPERLINK("https://jobs.ashbyhq.com/vantage/19c9753f-25be-4e76-af53-04717bdcc25b/application","↗")</f>
        <v/>
      </c>
      <c r="J125" s="13" t="inlineStr">
        <is>
          <t>No</t>
        </is>
      </c>
      <c r="K125" s="13" t="inlineStr"/>
      <c r="L125" s="12" t="inlineStr"/>
      <c r="M125" s="12" t="inlineStr"/>
      <c r="N125" s="12" t="inlineStr"/>
      <c r="O125" s="12" t="inlineStr"/>
    </row>
    <row r="126" ht="16" customHeight="1">
      <c r="A126" s="8" t="inlineStr">
        <is>
          <t>Perception Software Engineering Intern</t>
        </is>
      </c>
      <c r="B126" s="8" t="inlineStr">
        <is>
          <t>Glydways</t>
        </is>
      </c>
      <c r="C126" s="9" t="inlineStr">
        <is>
          <t>2026-03-17</t>
        </is>
      </c>
      <c r="D126" s="9" t="n">
        <v>3</v>
      </c>
      <c r="E126" s="9" t="inlineStr">
        <is>
          <t>Remote</t>
        </is>
      </c>
      <c r="F126" s="7" t="n">
        <v>11</v>
      </c>
      <c r="G126" s="9" t="inlineStr">
        <is>
          <t>Simplify</t>
        </is>
      </c>
      <c r="H126" s="8" t="inlineStr">
        <is>
          <t>Remote in USA</t>
        </is>
      </c>
      <c r="I126" s="10">
        <f>HYPERLINK("https://job-boards.greenhouse.io/glydways/jobs/5082217007","↗")</f>
        <v/>
      </c>
      <c r="J126" s="9" t="inlineStr">
        <is>
          <t>No</t>
        </is>
      </c>
      <c r="K126" s="9" t="inlineStr"/>
      <c r="L126" s="8" t="inlineStr"/>
      <c r="M126" s="8" t="inlineStr"/>
      <c r="N126" s="8" t="inlineStr"/>
      <c r="O126" s="8" t="inlineStr"/>
    </row>
    <row r="127" ht="16" customHeight="1">
      <c r="A127" s="8" t="inlineStr">
        <is>
          <t>Skillbridge Intern</t>
        </is>
      </c>
      <c r="B127" s="8" t="inlineStr">
        <is>
          <t>Defense Unicorns</t>
        </is>
      </c>
      <c r="C127" s="9" t="inlineStr">
        <is>
          <t>2026-03-17</t>
        </is>
      </c>
      <c r="D127" s="9" t="n">
        <v>3</v>
      </c>
      <c r="E127" s="9" t="inlineStr">
        <is>
          <t>Remote</t>
        </is>
      </c>
      <c r="F127" s="11" t="n">
        <v>7</v>
      </c>
      <c r="G127" s="9" t="inlineStr">
        <is>
          <t>Simplify</t>
        </is>
      </c>
      <c r="H127" s="8" t="inlineStr">
        <is>
          <t>Remote in USA</t>
        </is>
      </c>
      <c r="I127" s="10">
        <f>HYPERLINK("https://job-boards.greenhouse.io/defenseunicorns/jobs/4590940007","↗")</f>
        <v/>
      </c>
      <c r="J127" s="9" t="inlineStr">
        <is>
          <t>No</t>
        </is>
      </c>
      <c r="K127" s="9" t="inlineStr"/>
      <c r="L127" s="8" t="inlineStr"/>
      <c r="M127" s="8" t="inlineStr"/>
      <c r="N127" s="8" t="inlineStr"/>
      <c r="O127" s="8" t="inlineStr"/>
    </row>
    <row r="128" ht="16" customHeight="1">
      <c r="A128" s="22" t="inlineStr">
        <is>
          <t>Software Developer Intern - Structural</t>
        </is>
      </c>
      <c r="B128" s="22" t="inlineStr">
        <is>
          <t>Walter P Moore</t>
        </is>
      </c>
      <c r="C128" s="23" t="inlineStr">
        <is>
          <t>2026-03-17</t>
        </is>
      </c>
      <c r="D128" s="23" t="n">
        <v>3</v>
      </c>
      <c r="E128" s="23" t="inlineStr">
        <is>
          <t>PA</t>
        </is>
      </c>
      <c r="F128" s="24" t="n">
        <v>5</v>
      </c>
      <c r="G128" s="23" t="inlineStr">
        <is>
          <t>Simplify</t>
        </is>
      </c>
      <c r="H128" s="22" t="inlineStr">
        <is>
          <t>Las Vegas, NV, Orlando, FL, Houston, TX, El Paso, TX, Austin, TX, Miami, FL, Dallas, TX, Charlotte, NC, Kansas City, MO, Oklahoma City, OK, Atlanta, GA</t>
        </is>
      </c>
      <c r="I128" s="25">
        <f>HYPERLINK("https://careers-walterpmoore.icims.com/jobs/4046/job?mobile=true&amp;needsRedirect=false","↗")</f>
        <v/>
      </c>
      <c r="J128" s="23" t="inlineStr">
        <is>
          <t>No</t>
        </is>
      </c>
      <c r="K128" s="23" t="inlineStr"/>
      <c r="L128" s="22" t="inlineStr"/>
      <c r="M128" s="22" t="inlineStr"/>
      <c r="N128" s="22" t="inlineStr"/>
      <c r="O128" s="22" t="inlineStr"/>
    </row>
    <row r="129" ht="16" customHeight="1">
      <c r="A129" s="2" t="inlineStr">
        <is>
          <t>Reticle Data Prep Software Intern</t>
        </is>
      </c>
      <c r="B129" s="2" t="inlineStr">
        <is>
          <t>onsemi</t>
        </is>
      </c>
      <c r="C129" s="3" t="inlineStr">
        <is>
          <t>2026-03-17</t>
        </is>
      </c>
      <c r="D129" s="3" t="n">
        <v>3</v>
      </c>
      <c r="E129" s="3" t="inlineStr">
        <is>
          <t>TX</t>
        </is>
      </c>
      <c r="F129" s="4" t="n">
        <v>5</v>
      </c>
      <c r="G129" s="3" t="inlineStr">
        <is>
          <t>Simplify</t>
        </is>
      </c>
      <c r="H129" s="2" t="inlineStr">
        <is>
          <t>Allen, TX</t>
        </is>
      </c>
      <c r="I129" s="5">
        <f>HYPERLINK("https://hctz.fa.us2.oraclecloud.com/hcmUI/CandidateExperience/en/sites/CX_1001/job/2504937","↗")</f>
        <v/>
      </c>
      <c r="J129" s="3" t="inlineStr">
        <is>
          <t>No</t>
        </is>
      </c>
      <c r="K129" s="3" t="inlineStr"/>
      <c r="L129" s="2" t="inlineStr"/>
      <c r="M129" s="2" t="inlineStr"/>
      <c r="N129" s="2" t="inlineStr"/>
      <c r="O129" s="2" t="inlineStr"/>
    </row>
    <row r="130" ht="16" customHeight="1">
      <c r="A130" s="2" t="inlineStr">
        <is>
          <t>Linux Automation Intern</t>
        </is>
      </c>
      <c r="B130" s="2" t="inlineStr">
        <is>
          <t>General Dynamics Mission Systems</t>
        </is>
      </c>
      <c r="C130" s="3" t="inlineStr">
        <is>
          <t>2026-03-17</t>
        </is>
      </c>
      <c r="D130" s="3" t="n">
        <v>3</v>
      </c>
      <c r="E130" s="3" t="inlineStr">
        <is>
          <t>TX</t>
        </is>
      </c>
      <c r="F130" s="4" t="n">
        <v>5</v>
      </c>
      <c r="G130" s="3" t="inlineStr">
        <is>
          <t>Simplify</t>
        </is>
      </c>
      <c r="H130" s="2" t="inlineStr">
        <is>
          <t>San Antonio, TX</t>
        </is>
      </c>
      <c r="I130" s="5">
        <f>HYPERLINK("https://careers-gdms.icims.com/jobs/71534/job?mobile=true&amp;needsRedirect=false","↗")</f>
        <v/>
      </c>
      <c r="J130" s="3" t="inlineStr">
        <is>
          <t>No</t>
        </is>
      </c>
      <c r="K130" s="3" t="inlineStr"/>
      <c r="L130" s="2" t="inlineStr"/>
      <c r="M130" s="2" t="inlineStr"/>
      <c r="N130" s="2" t="inlineStr"/>
      <c r="O130" s="2" t="inlineStr"/>
    </row>
    <row r="131" ht="16" customHeight="1">
      <c r="A131" s="2" t="inlineStr">
        <is>
          <t>Intern - Agentic AI Solutions - Summer/Fall</t>
        </is>
      </c>
      <c r="B131" s="2" t="inlineStr">
        <is>
          <t>Samsung Research America</t>
        </is>
      </c>
      <c r="C131" s="3" t="inlineStr">
        <is>
          <t>2026-03-17</t>
        </is>
      </c>
      <c r="D131" s="3" t="n">
        <v>3</v>
      </c>
      <c r="E131" s="3" t="inlineStr">
        <is>
          <t>CA</t>
        </is>
      </c>
      <c r="F131" s="4" t="n">
        <v>4</v>
      </c>
      <c r="G131" s="3" t="inlineStr">
        <is>
          <t>Simplify</t>
        </is>
      </c>
      <c r="H131" s="2" t="inlineStr">
        <is>
          <t>Mountain View, CA</t>
        </is>
      </c>
      <c r="I131" s="5">
        <f>HYPERLINK("https://job-boards.greenhouse.io/samsungresearchamericainternship/jobs/8464682002","↗")</f>
        <v/>
      </c>
      <c r="J131" s="3" t="inlineStr">
        <is>
          <t>No</t>
        </is>
      </c>
      <c r="K131" s="3" t="inlineStr"/>
      <c r="L131" s="2" t="inlineStr"/>
      <c r="M131" s="2" t="inlineStr"/>
      <c r="N131" s="2" t="inlineStr"/>
      <c r="O131" s="2" t="inlineStr"/>
    </row>
    <row r="132" ht="16" customHeight="1">
      <c r="A132" s="2" t="inlineStr">
        <is>
          <t>AI/ML Intern</t>
        </is>
      </c>
      <c r="B132" s="2" t="inlineStr">
        <is>
          <t>Riverside Research</t>
        </is>
      </c>
      <c r="C132" s="3" t="inlineStr">
        <is>
          <t>2026-03-17</t>
        </is>
      </c>
      <c r="D132" s="3" t="n">
        <v>3</v>
      </c>
      <c r="E132" s="3" t="inlineStr">
        <is>
          <t>OH</t>
        </is>
      </c>
      <c r="F132" s="7" t="n">
        <v>8</v>
      </c>
      <c r="G132" s="3" t="inlineStr">
        <is>
          <t>Simplify</t>
        </is>
      </c>
      <c r="H132" s="2" t="inlineStr">
        <is>
          <t>Dayton, OH</t>
        </is>
      </c>
      <c r="I132" s="5">
        <f>HYPERLINK("https://careers-riversideresearch.icims.com/jobs/4156/job?mobile=true&amp;needsRedirect=false","↗")</f>
        <v/>
      </c>
      <c r="J132" s="3" t="inlineStr">
        <is>
          <t>No</t>
        </is>
      </c>
      <c r="K132" s="3" t="inlineStr"/>
      <c r="L132" s="2" t="inlineStr"/>
      <c r="M132" s="2" t="inlineStr"/>
      <c r="N132" s="2" t="inlineStr"/>
      <c r="O132" s="2" t="inlineStr"/>
    </row>
    <row r="133" ht="16" customHeight="1">
      <c r="A133" s="2" t="inlineStr">
        <is>
          <t>AI/ML Intern</t>
        </is>
      </c>
      <c r="B133" s="2" t="inlineStr">
        <is>
          <t>Riverside Research</t>
        </is>
      </c>
      <c r="C133" s="3" t="inlineStr">
        <is>
          <t>2026-03-17</t>
        </is>
      </c>
      <c r="D133" s="3" t="n">
        <v>3</v>
      </c>
      <c r="E133" s="3" t="inlineStr">
        <is>
          <t>OH</t>
        </is>
      </c>
      <c r="F133" s="7" t="n">
        <v>8</v>
      </c>
      <c r="G133" s="3" t="inlineStr">
        <is>
          <t>Simplify</t>
        </is>
      </c>
      <c r="H133" s="2" t="inlineStr">
        <is>
          <t>Dayton, OH</t>
        </is>
      </c>
      <c r="I133" s="5">
        <f>HYPERLINK("https://careers-riversideresearch.icims.com/jobs/4155/job?mobile=true&amp;needsRedirect=false","↗")</f>
        <v/>
      </c>
      <c r="J133" s="3" t="inlineStr">
        <is>
          <t>No</t>
        </is>
      </c>
      <c r="K133" s="3" t="inlineStr"/>
      <c r="L133" s="2" t="inlineStr"/>
      <c r="M133" s="2" t="inlineStr"/>
      <c r="N133" s="2" t="inlineStr"/>
      <c r="O133" s="2" t="inlineStr"/>
    </row>
    <row r="134" ht="16" customHeight="1">
      <c r="A134" s="2" t="inlineStr">
        <is>
          <t>Software Engineer Intern</t>
        </is>
      </c>
      <c r="B134" s="2" t="inlineStr">
        <is>
          <t>CACI</t>
        </is>
      </c>
      <c r="C134" s="3" t="inlineStr">
        <is>
          <t>2026-03-17</t>
        </is>
      </c>
      <c r="D134" s="3" t="n">
        <v>3</v>
      </c>
      <c r="E134" s="3" t="inlineStr">
        <is>
          <t>TX</t>
        </is>
      </c>
      <c r="F134" s="4" t="n">
        <v>7</v>
      </c>
      <c r="G134" s="3" t="inlineStr">
        <is>
          <t>Simplify</t>
        </is>
      </c>
      <c r="H134" s="2" t="inlineStr">
        <is>
          <t>Austin, TX</t>
        </is>
      </c>
      <c r="I134" s="5">
        <f>HYPERLINK("https://caci.wd1.myworkdayjobs.com/external/job/US-TX-Austin/Software-Engineer-Intern---Spring-2026_323363","↗")</f>
        <v/>
      </c>
      <c r="J134" s="3" t="inlineStr">
        <is>
          <t>No</t>
        </is>
      </c>
      <c r="K134" s="3" t="inlineStr"/>
      <c r="L134" s="2" t="inlineStr"/>
      <c r="M134" s="2" t="inlineStr"/>
      <c r="N134" s="2" t="inlineStr"/>
      <c r="O134" s="2" t="inlineStr"/>
    </row>
    <row r="135" ht="16" customHeight="1">
      <c r="A135" s="2" t="inlineStr">
        <is>
          <t>Evercommerce – Data Engineering Intern</t>
        </is>
      </c>
      <c r="B135" s="2" t="inlineStr">
        <is>
          <t>EverCommerce</t>
        </is>
      </c>
      <c r="C135" s="3" t="inlineStr">
        <is>
          <t>2026-03-17</t>
        </is>
      </c>
      <c r="D135" s="3" t="n">
        <v>3</v>
      </c>
      <c r="E135" s="3" t="inlineStr">
        <is>
          <t>CO</t>
        </is>
      </c>
      <c r="F135" s="4" t="n">
        <v>4</v>
      </c>
      <c r="G135" s="3" t="inlineStr">
        <is>
          <t>Simplify</t>
        </is>
      </c>
      <c r="H135" s="2" t="inlineStr">
        <is>
          <t>Denver, CO</t>
        </is>
      </c>
      <c r="I135" s="5">
        <f>HYPERLINK("https://evercommerce.wd1.myworkdayjobs.com/evercommerce_careers/job/Remote--US/EverCommerce---Data-Engineering-Internship--Remote--US-_R-105916","↗")</f>
        <v/>
      </c>
      <c r="J135" s="3" t="inlineStr">
        <is>
          <t>No</t>
        </is>
      </c>
      <c r="K135" s="3" t="inlineStr"/>
      <c r="L135" s="2" t="inlineStr"/>
      <c r="M135" s="2" t="inlineStr"/>
      <c r="N135" s="2" t="inlineStr"/>
      <c r="O135" s="2" t="inlineStr"/>
    </row>
    <row r="136" ht="16" customHeight="1">
      <c r="A136" s="2" t="inlineStr">
        <is>
          <t>Software Engineering Intern</t>
        </is>
      </c>
      <c r="B136" s="2" t="inlineStr">
        <is>
          <t>The Federal Reserve System</t>
        </is>
      </c>
      <c r="C136" s="3" t="inlineStr">
        <is>
          <t>2026-03-17</t>
        </is>
      </c>
      <c r="D136" s="3" t="n">
        <v>3</v>
      </c>
      <c r="E136" s="3" t="inlineStr">
        <is>
          <t>MA</t>
        </is>
      </c>
      <c r="F136" s="6" t="n">
        <v>13</v>
      </c>
      <c r="G136" s="3" t="inlineStr">
        <is>
          <t>Simplify</t>
        </is>
      </c>
      <c r="H136" s="2" t="inlineStr">
        <is>
          <t>Boston, MA</t>
        </is>
      </c>
      <c r="I136" s="5">
        <f>HYPERLINK("https://rb.wd5.myworkdayjobs.com/en-US/FRS/job/Boston-MA/Summer-2026-Intern--Software-Engineering_R-0000031107-1","↗")</f>
        <v/>
      </c>
      <c r="J136" s="3" t="inlineStr">
        <is>
          <t>No</t>
        </is>
      </c>
      <c r="K136" s="3" t="inlineStr"/>
      <c r="L136" s="2" t="inlineStr"/>
      <c r="M136" s="2" t="inlineStr"/>
      <c r="N136" s="2" t="inlineStr"/>
      <c r="O136" s="2" t="inlineStr"/>
    </row>
    <row r="137" ht="16" customHeight="1">
      <c r="A137" s="2" t="inlineStr">
        <is>
          <t>Software Engineer Intern</t>
        </is>
      </c>
      <c r="B137" s="2" t="inlineStr">
        <is>
          <t>Snyk</t>
        </is>
      </c>
      <c r="C137" s="3" t="inlineStr">
        <is>
          <t>2026-03-17</t>
        </is>
      </c>
      <c r="D137" s="3" t="n">
        <v>3</v>
      </c>
      <c r="E137" s="3" t="inlineStr">
        <is>
          <t>MA</t>
        </is>
      </c>
      <c r="F137" s="4" t="n">
        <v>7</v>
      </c>
      <c r="G137" s="3" t="inlineStr">
        <is>
          <t>Simplify</t>
        </is>
      </c>
      <c r="H137" s="2" t="inlineStr">
        <is>
          <t>Boston, MA</t>
        </is>
      </c>
      <c r="I137" s="5">
        <f>HYPERLINK("https://snyk.wd103.myworkdayjobs.com/External/job/United-States---Boston-Office/Software-Engineer-Intern_JR100489","↗")</f>
        <v/>
      </c>
      <c r="J137" s="3" t="inlineStr">
        <is>
          <t>No</t>
        </is>
      </c>
      <c r="K137" s="3" t="inlineStr"/>
      <c r="L137" s="2" t="inlineStr"/>
      <c r="M137" s="2" t="inlineStr"/>
      <c r="N137" s="2" t="inlineStr"/>
      <c r="O137" s="2" t="inlineStr"/>
    </row>
    <row r="138" ht="16" customHeight="1">
      <c r="A138" s="12" t="inlineStr">
        <is>
          <t>Software Engineering Intern</t>
        </is>
      </c>
      <c r="B138" s="12" t="inlineStr">
        <is>
          <t>Safran</t>
        </is>
      </c>
      <c r="C138" s="13" t="inlineStr">
        <is>
          <t>2026-03-17</t>
        </is>
      </c>
      <c r="D138" s="13" t="n">
        <v>3</v>
      </c>
      <c r="E138" s="13" t="inlineStr">
        <is>
          <t>NY</t>
        </is>
      </c>
      <c r="F138" s="7" t="n">
        <v>11</v>
      </c>
      <c r="G138" s="13" t="inlineStr">
        <is>
          <t>Simplify</t>
        </is>
      </c>
      <c r="H138" s="12" t="inlineStr">
        <is>
          <t>Rochester, NY</t>
        </is>
      </c>
      <c r="I138" s="15">
        <f>HYPERLINK("https://safransed.bamboohr.com/careers/1058/","↗")</f>
        <v/>
      </c>
      <c r="J138" s="13" t="inlineStr">
        <is>
          <t>No</t>
        </is>
      </c>
      <c r="K138" s="13" t="inlineStr"/>
      <c r="L138" s="12" t="inlineStr"/>
      <c r="M138" s="12" t="inlineStr"/>
      <c r="N138" s="12" t="inlineStr"/>
      <c r="O138" s="12" t="inlineStr"/>
    </row>
    <row r="139" ht="16" customHeight="1">
      <c r="A139" s="22" t="inlineStr">
        <is>
          <t>Software Engineer Intern</t>
        </is>
      </c>
      <c r="B139" s="22" t="inlineStr">
        <is>
          <t>W.R. Berkley</t>
        </is>
      </c>
      <c r="C139" s="23" t="inlineStr">
        <is>
          <t>2026-03-17</t>
        </is>
      </c>
      <c r="D139" s="23" t="n">
        <v>3</v>
      </c>
      <c r="E139" s="23" t="inlineStr">
        <is>
          <t>PA</t>
        </is>
      </c>
      <c r="F139" s="24" t="n">
        <v>7</v>
      </c>
      <c r="G139" s="23" t="inlineStr">
        <is>
          <t>Simplify</t>
        </is>
      </c>
      <c r="H139" s="22" t="inlineStr">
        <is>
          <t>Overland Park, KS</t>
        </is>
      </c>
      <c r="I139" s="25">
        <f>HYPERLINK("https://careers-berkley.icims.com/jobs/13671/job?mobile=true&amp;needsRedirect=false","↗")</f>
        <v/>
      </c>
      <c r="J139" s="23" t="inlineStr">
        <is>
          <t>No</t>
        </is>
      </c>
      <c r="K139" s="23" t="inlineStr"/>
      <c r="L139" s="22" t="inlineStr"/>
      <c r="M139" s="22" t="inlineStr"/>
      <c r="N139" s="22" t="inlineStr"/>
      <c r="O139" s="22" t="inlineStr"/>
    </row>
    <row r="140" ht="16" customHeight="1">
      <c r="A140" s="2" t="inlineStr">
        <is>
          <t>Intern Software Engineer</t>
        </is>
      </c>
      <c r="B140" s="2" t="inlineStr">
        <is>
          <t>General Dynamics Mission Systems</t>
        </is>
      </c>
      <c r="C140" s="3" t="inlineStr">
        <is>
          <t>2026-03-17</t>
        </is>
      </c>
      <c r="D140" s="3" t="n">
        <v>3</v>
      </c>
      <c r="E140" s="3" t="inlineStr">
        <is>
          <t>FL</t>
        </is>
      </c>
      <c r="F140" s="6" t="n">
        <v>12</v>
      </c>
      <c r="G140" s="3" t="inlineStr">
        <is>
          <t>Simplify</t>
        </is>
      </c>
      <c r="H140" s="2" t="inlineStr">
        <is>
          <t>Orlando, FL</t>
        </is>
      </c>
      <c r="I140" s="5">
        <f>HYPERLINK("https://careers-gdms.icims.com/jobs/71415/job?mobile=true&amp;needsRedirect=false","↗")</f>
        <v/>
      </c>
      <c r="J140" s="3" t="inlineStr">
        <is>
          <t>No</t>
        </is>
      </c>
      <c r="K140" s="3" t="inlineStr"/>
      <c r="L140" s="2" t="inlineStr"/>
      <c r="M140" s="2" t="inlineStr"/>
      <c r="N140" s="2" t="inlineStr"/>
      <c r="O140" s="2" t="inlineStr"/>
    </row>
    <row r="141" ht="16" customHeight="1">
      <c r="A141" s="2" t="inlineStr">
        <is>
          <t>Software Engineer Intern</t>
        </is>
      </c>
      <c r="B141" s="2" t="inlineStr">
        <is>
          <t>Synchrony Financial</t>
        </is>
      </c>
      <c r="C141" s="3" t="inlineStr">
        <is>
          <t>2026-03-17</t>
        </is>
      </c>
      <c r="D141" s="3" t="n">
        <v>3</v>
      </c>
      <c r="E141" s="3" t="inlineStr">
        <is>
          <t>CA</t>
        </is>
      </c>
      <c r="F141" s="4" t="n">
        <v>7</v>
      </c>
      <c r="G141" s="3" t="inlineStr">
        <is>
          <t>Simplify</t>
        </is>
      </c>
      <c r="H141" s="2" t="inlineStr">
        <is>
          <t>Canton, OH, Ohio, Cincinnati, OH</t>
        </is>
      </c>
      <c r="I141" s="5">
        <f>HYPERLINK("https://synchronyfinancial.wd5.myworkdayjobs.com/University/job/Canton-Remote-OH/Software-Engineer-Intern_2401218","↗")</f>
        <v/>
      </c>
      <c r="J141" s="3" t="inlineStr">
        <is>
          <t>No</t>
        </is>
      </c>
      <c r="K141" s="3" t="inlineStr"/>
      <c r="L141" s="2" t="inlineStr"/>
      <c r="M141" s="2" t="inlineStr"/>
      <c r="N141" s="2" t="inlineStr"/>
      <c r="O141" s="2" t="inlineStr"/>
    </row>
    <row r="142" ht="16" customHeight="1">
      <c r="A142" s="2" t="inlineStr">
        <is>
          <t>Software Engineer Intern</t>
        </is>
      </c>
      <c r="B142" s="2" t="inlineStr">
        <is>
          <t>Synchrony Financial</t>
        </is>
      </c>
      <c r="C142" s="3" t="inlineStr">
        <is>
          <t>2026-03-17</t>
        </is>
      </c>
      <c r="D142" s="3" t="n">
        <v>3</v>
      </c>
      <c r="E142" s="3" t="inlineStr">
        <is>
          <t>CA</t>
        </is>
      </c>
      <c r="F142" s="4" t="n">
        <v>7</v>
      </c>
      <c r="G142" s="3" t="inlineStr">
        <is>
          <t>Simplify</t>
        </is>
      </c>
      <c r="H142" s="2" t="inlineStr">
        <is>
          <t>Canton, OH, Ohio, Cincinnati, OH</t>
        </is>
      </c>
      <c r="I142" s="5">
        <f>HYPERLINK("https://synchronyfinancial.wd5.myworkdayjobs.com/University/job/Canton-Remote-OH/Software-Engineer-Intern---Summer-2026_2503435-2","↗")</f>
        <v/>
      </c>
      <c r="J142" s="3" t="inlineStr">
        <is>
          <t>No</t>
        </is>
      </c>
      <c r="K142" s="3" t="inlineStr"/>
      <c r="L142" s="2" t="inlineStr"/>
      <c r="M142" s="2" t="inlineStr"/>
      <c r="N142" s="2" t="inlineStr"/>
      <c r="O142" s="2" t="inlineStr"/>
    </row>
    <row r="143" ht="16" customHeight="1">
      <c r="A143" s="2" t="inlineStr">
        <is>
          <t>Software Development Intern - Data Infrastructure C++ Python Go</t>
        </is>
      </c>
      <c r="B143" s="2" t="inlineStr">
        <is>
          <t>Nasuni</t>
        </is>
      </c>
      <c r="C143" s="3" t="inlineStr">
        <is>
          <t>2026-03-17</t>
        </is>
      </c>
      <c r="D143" s="3" t="n">
        <v>3</v>
      </c>
      <c r="E143" s="3" t="inlineStr">
        <is>
          <t>MA</t>
        </is>
      </c>
      <c r="F143" s="6" t="n">
        <v>12</v>
      </c>
      <c r="G143" s="3" t="inlineStr">
        <is>
          <t>Simplify</t>
        </is>
      </c>
      <c r="H143" s="2" t="inlineStr">
        <is>
          <t>Marlborough, MA</t>
        </is>
      </c>
      <c r="I143" s="5">
        <f>HYPERLINK("https://www.nasuni.com/about-us/careers/open-positions/?gh_jid=5134719008","↗")</f>
        <v/>
      </c>
      <c r="J143" s="3" t="inlineStr">
        <is>
          <t>No</t>
        </is>
      </c>
      <c r="K143" s="3" t="inlineStr"/>
      <c r="L143" s="2" t="inlineStr"/>
      <c r="M143" s="2" t="inlineStr"/>
      <c r="N143" s="2" t="inlineStr"/>
      <c r="O143" s="2" t="inlineStr"/>
    </row>
    <row r="144" ht="16" customHeight="1">
      <c r="A144" s="2" t="inlineStr">
        <is>
          <t>Talent Acquisition Data Engineering &amp; Analytics Graduate Intern</t>
        </is>
      </c>
      <c r="B144" s="2" t="inlineStr">
        <is>
          <t>Solidigm</t>
        </is>
      </c>
      <c r="C144" s="3" t="inlineStr">
        <is>
          <t>2026-03-16</t>
        </is>
      </c>
      <c r="D144" s="3" t="n">
        <v>4</v>
      </c>
      <c r="E144" s="3" t="inlineStr">
        <is>
          <t>CA</t>
        </is>
      </c>
      <c r="F144" s="4" t="n">
        <v>6</v>
      </c>
      <c r="G144" s="3" t="inlineStr">
        <is>
          <t>Simplify</t>
        </is>
      </c>
      <c r="H144" s="2" t="inlineStr">
        <is>
          <t>Rancho Cordova, CA</t>
        </is>
      </c>
      <c r="I144" s="5">
        <f>HYPERLINK("https://jobs.smartrecruiters.com/Solidigm/744000115004195","↗")</f>
        <v/>
      </c>
      <c r="J144" s="3" t="inlineStr">
        <is>
          <t>No</t>
        </is>
      </c>
      <c r="K144" s="3" t="inlineStr"/>
      <c r="L144" s="2" t="inlineStr"/>
      <c r="M144" s="2" t="inlineStr"/>
      <c r="N144" s="2" t="inlineStr"/>
      <c r="O144" s="2" t="inlineStr"/>
    </row>
    <row r="145" ht="16" customHeight="1">
      <c r="A145" s="2" t="inlineStr">
        <is>
          <t>Intern Machine Learning - Semiconductor Laser Manufacturing</t>
        </is>
      </c>
      <c r="B145" s="2" t="inlineStr">
        <is>
          <t xml:space="preserve">Coherent </t>
        </is>
      </c>
      <c r="C145" s="3" t="inlineStr">
        <is>
          <t>2026-03-16</t>
        </is>
      </c>
      <c r="D145" s="3" t="n">
        <v>4</v>
      </c>
      <c r="E145" s="3" t="inlineStr">
        <is>
          <t>CA</t>
        </is>
      </c>
      <c r="F145" s="4" t="n">
        <v>6</v>
      </c>
      <c r="G145" s="3" t="inlineStr">
        <is>
          <t>Simplify</t>
        </is>
      </c>
      <c r="H145" s="2" t="inlineStr">
        <is>
          <t>Fremont, CA</t>
        </is>
      </c>
      <c r="I145" s="5">
        <f>HYPERLINK("https://hcwp.fa.us2.oraclecloud.com/hcmUI/CandidateExperience/en/sites/CX_1/job/2011194","↗")</f>
        <v/>
      </c>
      <c r="J145" s="3" t="inlineStr">
        <is>
          <t>No</t>
        </is>
      </c>
      <c r="K145" s="3" t="inlineStr"/>
      <c r="L145" s="2" t="inlineStr"/>
      <c r="M145" s="2" t="inlineStr"/>
      <c r="N145" s="2" t="inlineStr"/>
      <c r="O145" s="2" t="inlineStr"/>
    </row>
    <row r="146" ht="16" customHeight="1">
      <c r="A146" s="2" t="inlineStr">
        <is>
          <t>Software Engineer Intern</t>
        </is>
      </c>
      <c r="B146" s="2" t="inlineStr">
        <is>
          <t>Sierra Space</t>
        </is>
      </c>
      <c r="C146" s="3" t="inlineStr">
        <is>
          <t>2026-03-16</t>
        </is>
      </c>
      <c r="D146" s="3" t="n">
        <v>4</v>
      </c>
      <c r="E146" s="3" t="inlineStr">
        <is>
          <t>CO</t>
        </is>
      </c>
      <c r="F146" s="4" t="n">
        <v>7</v>
      </c>
      <c r="G146" s="3" t="inlineStr">
        <is>
          <t>Simplify</t>
        </is>
      </c>
      <c r="H146" s="2" t="inlineStr">
        <is>
          <t>Centennial, CO, Lafayette, CO</t>
        </is>
      </c>
      <c r="I146" s="5">
        <f>HYPERLINK("https://sierraspace.wd1.myworkdayjobs.com/en-US/Sierra_Space_External_Career_Site/job/Louisville-CO/Summer-2026-Software-Engineer-Intern_R25419","↗")</f>
        <v/>
      </c>
      <c r="J146" s="3" t="inlineStr">
        <is>
          <t>No</t>
        </is>
      </c>
      <c r="K146" s="3" t="inlineStr"/>
      <c r="L146" s="2" t="inlineStr"/>
      <c r="M146" s="2" t="inlineStr"/>
      <c r="N146" s="2" t="inlineStr"/>
      <c r="O146" s="2" t="inlineStr"/>
    </row>
    <row r="147" ht="16" customHeight="1">
      <c r="A147" s="2" t="inlineStr">
        <is>
          <t>Intern Software Engineer</t>
        </is>
      </c>
      <c r="B147" s="2" t="inlineStr">
        <is>
          <t>Micron Technology</t>
        </is>
      </c>
      <c r="C147" s="3" t="inlineStr">
        <is>
          <t>2026-03-16</t>
        </is>
      </c>
      <c r="D147" s="3" t="n">
        <v>4</v>
      </c>
      <c r="E147" s="3" t="inlineStr"/>
      <c r="F147" s="7" t="n">
        <v>9</v>
      </c>
      <c r="G147" s="3" t="inlineStr">
        <is>
          <t>Simplify</t>
        </is>
      </c>
      <c r="H147" s="2" t="inlineStr">
        <is>
          <t>Boise, ID</t>
        </is>
      </c>
      <c r="I147" s="5">
        <f>HYPERLINK("https://micron.wd1.myworkdayjobs.com/External/job/Boise-ID---Main-Site/Software-Engineering-Intern_JR94282","↗")</f>
        <v/>
      </c>
      <c r="J147" s="3" t="inlineStr">
        <is>
          <t>No</t>
        </is>
      </c>
      <c r="K147" s="3" t="inlineStr"/>
      <c r="L147" s="2" t="inlineStr"/>
      <c r="M147" s="2" t="inlineStr"/>
      <c r="N147" s="2" t="inlineStr"/>
      <c r="O147" s="2" t="inlineStr"/>
    </row>
    <row r="148" ht="16" customHeight="1">
      <c r="A148" s="12" t="inlineStr">
        <is>
          <t>Intern - Data Analyst</t>
        </is>
      </c>
      <c r="B148" s="12" t="inlineStr">
        <is>
          <t>Ingram Micro</t>
        </is>
      </c>
      <c r="C148" s="13" t="inlineStr">
        <is>
          <t>2026-03-16</t>
        </is>
      </c>
      <c r="D148" s="13" t="n">
        <v>4</v>
      </c>
      <c r="E148" s="13" t="inlineStr">
        <is>
          <t>NY</t>
        </is>
      </c>
      <c r="F148" s="14" t="n">
        <v>4</v>
      </c>
      <c r="G148" s="13" t="inlineStr">
        <is>
          <t>Simplify</t>
        </is>
      </c>
      <c r="H148" s="12" t="inlineStr">
        <is>
          <t>Buffalo, NY</t>
        </is>
      </c>
      <c r="I148" s="15">
        <f>HYPERLINK("https://ingrammicro.wd5.myworkdayjobs.com/IngramMicro/job/Williamsville-NY-United-States-of-America/Summer-Intern---Data-Analyst_R-114117","↗")</f>
        <v/>
      </c>
      <c r="J148" s="13" t="inlineStr">
        <is>
          <t>No</t>
        </is>
      </c>
      <c r="K148" s="13" t="inlineStr"/>
      <c r="L148" s="12" t="inlineStr"/>
      <c r="M148" s="12" t="inlineStr"/>
      <c r="N148" s="12" t="inlineStr"/>
      <c r="O148" s="12" t="inlineStr"/>
    </row>
    <row r="149" ht="16" customHeight="1">
      <c r="A149" s="2" t="inlineStr">
        <is>
          <t>Software Engineer Intern</t>
        </is>
      </c>
      <c r="B149" s="2" t="inlineStr">
        <is>
          <t>Exact Sciences</t>
        </is>
      </c>
      <c r="C149" s="3" t="inlineStr">
        <is>
          <t>2026-03-16</t>
        </is>
      </c>
      <c r="D149" s="3" t="n">
        <v>4</v>
      </c>
      <c r="E149" s="3" t="inlineStr">
        <is>
          <t>CA</t>
        </is>
      </c>
      <c r="F149" s="4" t="n">
        <v>7</v>
      </c>
      <c r="G149" s="3" t="inlineStr">
        <is>
          <t>Simplify</t>
        </is>
      </c>
      <c r="H149" s="2" t="inlineStr">
        <is>
          <t>San Diego, CA</t>
        </is>
      </c>
      <c r="I149" s="5">
        <f>HYPERLINK("https://exactsciences.wd1.myworkdayjobs.com/en-CA/Exact_Sciences/job/US---CA---San-Diego/Software-Engineer-Intern---Summer-2026_R26-12810","↗")</f>
        <v/>
      </c>
      <c r="J149" s="3" t="inlineStr">
        <is>
          <t>No</t>
        </is>
      </c>
      <c r="K149" s="3" t="inlineStr"/>
      <c r="L149" s="2" t="inlineStr"/>
      <c r="M149" s="2" t="inlineStr"/>
      <c r="N149" s="2" t="inlineStr"/>
      <c r="O149" s="2" t="inlineStr"/>
    </row>
    <row r="150" ht="16" customHeight="1">
      <c r="A150" s="2" t="inlineStr">
        <is>
          <t>CIO Data &amp; AI Analyst Intern</t>
        </is>
      </c>
      <c r="B150" s="2" t="inlineStr">
        <is>
          <t>Kyndryl</t>
        </is>
      </c>
      <c r="C150" s="3" t="inlineStr">
        <is>
          <t>2026-03-16</t>
        </is>
      </c>
      <c r="D150" s="3" t="n">
        <v>4</v>
      </c>
      <c r="E150" s="3" t="inlineStr">
        <is>
          <t>CT</t>
        </is>
      </c>
      <c r="F150" s="4" t="n">
        <v>4</v>
      </c>
      <c r="G150" s="3" t="inlineStr">
        <is>
          <t>Simplify</t>
        </is>
      </c>
      <c r="H150" s="2" t="inlineStr">
        <is>
          <t>Greenwich, CT</t>
        </is>
      </c>
      <c r="I150" s="5">
        <f>HYPERLINK("https://kyndryl.wd5.myworkdayjobs.com/en-US/KyndrylProfessionalCareers/job/Rye-Brook-NY-USA/CIO-Data---AI-Analyst-Intern_R-58884","↗")</f>
        <v/>
      </c>
      <c r="J150" s="3" t="inlineStr">
        <is>
          <t>No</t>
        </is>
      </c>
      <c r="K150" s="3" t="inlineStr"/>
      <c r="L150" s="2" t="inlineStr"/>
      <c r="M150" s="2" t="inlineStr"/>
      <c r="N150" s="2" t="inlineStr"/>
      <c r="O150" s="2" t="inlineStr"/>
    </row>
    <row r="151" ht="16" customHeight="1">
      <c r="A151" s="12" t="inlineStr">
        <is>
          <t>Intern - Software Engineering</t>
        </is>
      </c>
      <c r="B151" s="12" t="inlineStr">
        <is>
          <t>Gen</t>
        </is>
      </c>
      <c r="C151" s="13" t="inlineStr">
        <is>
          <t>2026-03-16</t>
        </is>
      </c>
      <c r="D151" s="13" t="n">
        <v>4</v>
      </c>
      <c r="E151" s="13" t="inlineStr">
        <is>
          <t>NY</t>
        </is>
      </c>
      <c r="F151" s="7" t="n">
        <v>11</v>
      </c>
      <c r="G151" s="13" t="inlineStr">
        <is>
          <t>Simplify</t>
        </is>
      </c>
      <c r="H151" s="12" t="inlineStr">
        <is>
          <t>NYC</t>
        </is>
      </c>
      <c r="I151" s="15">
        <f>HYPERLINK("https://gen.wd1.myworkdayjobs.com/careers/job/USA---New-York-New-York/Intern--Software-Engineering---Summer-Internship_55246","↗")</f>
        <v/>
      </c>
      <c r="J151" s="13" t="inlineStr">
        <is>
          <t>No</t>
        </is>
      </c>
      <c r="K151" s="13" t="inlineStr"/>
      <c r="L151" s="12" t="inlineStr"/>
      <c r="M151" s="12" t="inlineStr"/>
      <c r="N151" s="12" t="inlineStr"/>
      <c r="O151" s="12" t="inlineStr"/>
    </row>
    <row r="152" ht="16" customHeight="1">
      <c r="A152" s="2" t="inlineStr">
        <is>
          <t>Supervision – And Statistics Intern - Credit Risk</t>
        </is>
      </c>
      <c r="B152" s="2" t="inlineStr">
        <is>
          <t>The Federal Reserve System</t>
        </is>
      </c>
      <c r="C152" s="3" t="inlineStr">
        <is>
          <t>2026-03-16</t>
        </is>
      </c>
      <c r="D152" s="3" t="n">
        <v>4</v>
      </c>
      <c r="E152" s="3" t="inlineStr">
        <is>
          <t>OH</t>
        </is>
      </c>
      <c r="F152" s="4" t="n">
        <v>4</v>
      </c>
      <c r="G152" s="3" t="inlineStr">
        <is>
          <t>Simplify</t>
        </is>
      </c>
      <c r="H152" s="2" t="inlineStr">
        <is>
          <t>Cleveland, OH</t>
        </is>
      </c>
      <c r="I152" s="5">
        <f>HYPERLINK("https://rb.wd5.myworkdayjobs.com/en-US/FRS/job/Cleveland-OH/Supervision--Credit-Risk--and-Statistics-Intern-2026_R-0000031725","↗")</f>
        <v/>
      </c>
      <c r="J152" s="3" t="inlineStr">
        <is>
          <t>No</t>
        </is>
      </c>
      <c r="K152" s="3" t="inlineStr"/>
      <c r="L152" s="2" t="inlineStr"/>
      <c r="M152" s="2" t="inlineStr"/>
      <c r="N152" s="2" t="inlineStr"/>
      <c r="O152" s="2" t="inlineStr"/>
    </row>
    <row r="153" ht="16" customHeight="1">
      <c r="A153" s="12" t="inlineStr">
        <is>
          <t>Blue Carbon GIS Intern</t>
        </is>
      </c>
      <c r="B153" s="12" t="inlineStr">
        <is>
          <t>Environmental Defense Fund</t>
        </is>
      </c>
      <c r="C153" s="13" t="inlineStr">
        <is>
          <t>2026-03-16</t>
        </is>
      </c>
      <c r="D153" s="13" t="n">
        <v>4</v>
      </c>
      <c r="E153" s="13" t="inlineStr">
        <is>
          <t>NY</t>
        </is>
      </c>
      <c r="F153" s="14" t="n">
        <v>5</v>
      </c>
      <c r="G153" s="13" t="inlineStr">
        <is>
          <t>Simplify</t>
        </is>
      </c>
      <c r="H153" s="12" t="inlineStr">
        <is>
          <t>Boston, MA, Washington, DC, SF, Austin, TX, Raleigh, NC, NYC, Boulder, CO</t>
        </is>
      </c>
      <c r="I153" s="15">
        <f>HYPERLINK("https://osv-edf.wd5.myworkdayjobs.com/Confidential/job/Washington-DC/Blue-Carbon-GIS-intern_REQ-002336","↗")</f>
        <v/>
      </c>
      <c r="J153" s="13" t="inlineStr">
        <is>
          <t>No</t>
        </is>
      </c>
      <c r="K153" s="13" t="inlineStr"/>
      <c r="L153" s="12" t="inlineStr"/>
      <c r="M153" s="12" t="inlineStr"/>
      <c r="N153" s="12" t="inlineStr"/>
      <c r="O153" s="12" t="inlineStr"/>
    </row>
    <row r="154" ht="16" customHeight="1">
      <c r="A154" s="2" t="inlineStr">
        <is>
          <t>Intern AI Enablement</t>
        </is>
      </c>
      <c r="B154" s="2" t="inlineStr">
        <is>
          <t>Sony Pictures Entertainment</t>
        </is>
      </c>
      <c r="C154" s="3" t="inlineStr">
        <is>
          <t>2026-03-16</t>
        </is>
      </c>
      <c r="D154" s="3" t="n">
        <v>4</v>
      </c>
      <c r="E154" s="3" t="inlineStr">
        <is>
          <t>CA</t>
        </is>
      </c>
      <c r="F154" s="4" t="n">
        <v>4</v>
      </c>
      <c r="G154" s="3" t="inlineStr">
        <is>
          <t>Simplify</t>
        </is>
      </c>
      <c r="H154" s="2" t="inlineStr">
        <is>
          <t>Culver City, CA</t>
        </is>
      </c>
      <c r="I154" s="5">
        <f>HYPERLINK("https://spe.wd1.myworkdayjobs.com/en-US/SonyPicturesEntertainment/job/Culver-City-California/Intern--AI-Enablement---Summer-2026_JR111804","↗")</f>
        <v/>
      </c>
      <c r="J154" s="3" t="inlineStr">
        <is>
          <t>No</t>
        </is>
      </c>
      <c r="K154" s="3" t="inlineStr"/>
      <c r="L154" s="2" t="inlineStr"/>
      <c r="M154" s="2" t="inlineStr"/>
      <c r="N154" s="2" t="inlineStr"/>
      <c r="O154" s="2" t="inlineStr"/>
    </row>
    <row r="155" ht="16" customHeight="1">
      <c r="A155" s="12" t="inlineStr">
        <is>
          <t>Data Engineering Intern – Graduate Level</t>
        </is>
      </c>
      <c r="B155" s="12" t="inlineStr">
        <is>
          <t>Judi Health</t>
        </is>
      </c>
      <c r="C155" s="13" t="inlineStr">
        <is>
          <t>2026-03-16</t>
        </is>
      </c>
      <c r="D155" s="13" t="n">
        <v>4</v>
      </c>
      <c r="E155" s="13" t="inlineStr">
        <is>
          <t>NY</t>
        </is>
      </c>
      <c r="F155" s="14" t="n">
        <v>4</v>
      </c>
      <c r="G155" s="13" t="inlineStr">
        <is>
          <t>Simplify</t>
        </is>
      </c>
      <c r="H155" s="12" t="inlineStr">
        <is>
          <t>NYC, Denver, CO</t>
        </is>
      </c>
      <c r="I155" s="15">
        <f>HYPERLINK("https://job-boards.greenhouse.io/capitalrx/jobs/5153861008","↗")</f>
        <v/>
      </c>
      <c r="J155" s="13" t="inlineStr">
        <is>
          <t>No</t>
        </is>
      </c>
      <c r="K155" s="13" t="inlineStr"/>
      <c r="L155" s="12" t="inlineStr"/>
      <c r="M155" s="12" t="inlineStr"/>
      <c r="N155" s="12" t="inlineStr"/>
      <c r="O155" s="12" t="inlineStr"/>
    </row>
    <row r="156" ht="16" customHeight="1">
      <c r="A156" s="12" t="inlineStr">
        <is>
          <t>Business Intelligence - Business Intelligence - Analytics Resource Intern</t>
        </is>
      </c>
      <c r="B156" s="12" t="inlineStr">
        <is>
          <t>Elevance Health</t>
        </is>
      </c>
      <c r="C156" s="13" t="inlineStr">
        <is>
          <t>2026-03-16</t>
        </is>
      </c>
      <c r="D156" s="13" t="n">
        <v>4</v>
      </c>
      <c r="E156" s="13" t="inlineStr">
        <is>
          <t>NY</t>
        </is>
      </c>
      <c r="F156" s="14" t="n">
        <v>5</v>
      </c>
      <c r="G156" s="13" t="inlineStr">
        <is>
          <t>Simplify</t>
        </is>
      </c>
      <c r="H156" s="12" t="inlineStr">
        <is>
          <t>Chicago, IL, NYC</t>
        </is>
      </c>
      <c r="I156" s="15">
        <f>HYPERLINK("https://elevancehealth.wd1.myworkdayjobs.com/en-US/ANT/job/NY-NEW-YORK-ONE-PENN-PLAZA-35TH-AND-36TH-FL/Business-Intelligence--BI----Analytics-Resource-Intern--Summer-2026_JR185231-1","↗")</f>
        <v/>
      </c>
      <c r="J156" s="13" t="inlineStr">
        <is>
          <t>No</t>
        </is>
      </c>
      <c r="K156" s="13" t="inlineStr"/>
      <c r="L156" s="12" t="inlineStr"/>
      <c r="M156" s="12" t="inlineStr"/>
      <c r="N156" s="12" t="inlineStr"/>
      <c r="O156" s="12" t="inlineStr"/>
    </row>
    <row r="157" ht="16" customHeight="1">
      <c r="A157" s="12" t="inlineStr">
        <is>
          <t>Business Intelligence - Business Intelligence - Analytics Resource Intern</t>
        </is>
      </c>
      <c r="B157" s="12" t="inlineStr">
        <is>
          <t>Elevance Health</t>
        </is>
      </c>
      <c r="C157" s="13" t="inlineStr">
        <is>
          <t>2026-03-16</t>
        </is>
      </c>
      <c r="D157" s="13" t="n">
        <v>4</v>
      </c>
      <c r="E157" s="13" t="inlineStr">
        <is>
          <t>NY</t>
        </is>
      </c>
      <c r="F157" s="14" t="n">
        <v>5</v>
      </c>
      <c r="G157" s="13" t="inlineStr">
        <is>
          <t>Simplify</t>
        </is>
      </c>
      <c r="H157" s="12" t="inlineStr">
        <is>
          <t>Chicago, IL, NYC</t>
        </is>
      </c>
      <c r="I157" s="15">
        <f>HYPERLINK("https://elevancehealth.wd1.myworkdayjobs.com/ELV-ET/job/NY-NEW-YORK-ONE-PENN-PLAZA-35TH-AND-36TH-FL/Business-Intelligence--BI----Analytics-Resource-Intern--Summer-2026_JR185231","↗")</f>
        <v/>
      </c>
      <c r="J157" s="13" t="inlineStr">
        <is>
          <t>No</t>
        </is>
      </c>
      <c r="K157" s="13" t="inlineStr"/>
      <c r="L157" s="12" t="inlineStr"/>
      <c r="M157" s="12" t="inlineStr"/>
      <c r="N157" s="12" t="inlineStr"/>
      <c r="O157" s="12" t="inlineStr"/>
    </row>
    <row r="158" ht="16" customHeight="1">
      <c r="A158" s="22" t="inlineStr">
        <is>
          <t>Engineering Intern</t>
        </is>
      </c>
      <c r="B158" s="22" t="inlineStr">
        <is>
          <t>General Dynamics Mission Systems</t>
        </is>
      </c>
      <c r="C158" s="23" t="inlineStr">
        <is>
          <t>2026-03-16</t>
        </is>
      </c>
      <c r="D158" s="23" t="n">
        <v>4</v>
      </c>
      <c r="E158" s="23" t="inlineStr">
        <is>
          <t>PA</t>
        </is>
      </c>
      <c r="F158" s="24" t="n">
        <v>5</v>
      </c>
      <c r="G158" s="23" t="inlineStr">
        <is>
          <t>Simplify</t>
        </is>
      </c>
      <c r="H158" s="22" t="inlineStr">
        <is>
          <t>McKeesport, PA</t>
        </is>
      </c>
      <c r="I158" s="25">
        <f>HYPERLINK("https://careers-gdms.icims.com/jobs/71307/job?mobile=true&amp;needsRedirect=false","↗")</f>
        <v/>
      </c>
      <c r="J158" s="23" t="inlineStr">
        <is>
          <t>No</t>
        </is>
      </c>
      <c r="K158" s="23" t="inlineStr"/>
      <c r="L158" s="22" t="inlineStr"/>
      <c r="M158" s="22" t="inlineStr"/>
      <c r="N158" s="22" t="inlineStr"/>
      <c r="O158" s="22" t="inlineStr"/>
    </row>
    <row r="159" ht="16" customHeight="1">
      <c r="A159" s="2" t="inlineStr">
        <is>
          <t>SW Engineering Intern</t>
        </is>
      </c>
      <c r="B159" s="2" t="inlineStr">
        <is>
          <t>General Dynamics Mission Systems</t>
        </is>
      </c>
      <c r="C159" s="3" t="inlineStr">
        <is>
          <t>2026-03-16</t>
        </is>
      </c>
      <c r="D159" s="3" t="n">
        <v>4</v>
      </c>
      <c r="E159" s="3" t="inlineStr">
        <is>
          <t>OH</t>
        </is>
      </c>
      <c r="F159" s="4" t="n">
        <v>5</v>
      </c>
      <c r="G159" s="3" t="inlineStr">
        <is>
          <t>Simplify</t>
        </is>
      </c>
      <c r="H159" s="2" t="inlineStr">
        <is>
          <t>Brooklyn, OH</t>
        </is>
      </c>
      <c r="I159" s="5">
        <f>HYPERLINK("https://careers-gdms.icims.com/jobs/71507/job?mobile=true&amp;needsRedirect=false","↗")</f>
        <v/>
      </c>
      <c r="J159" s="3" t="inlineStr">
        <is>
          <t>No</t>
        </is>
      </c>
      <c r="K159" s="3" t="inlineStr"/>
      <c r="L159" s="2" t="inlineStr"/>
      <c r="M159" s="2" t="inlineStr"/>
      <c r="N159" s="2" t="inlineStr"/>
      <c r="O159" s="2" t="inlineStr"/>
    </row>
    <row r="160" ht="16" customHeight="1">
      <c r="A160" s="2" t="inlineStr">
        <is>
          <t>Software / Systems Engineering Intern 1</t>
        </is>
      </c>
      <c r="B160" s="2" t="inlineStr">
        <is>
          <t>GE Vernova</t>
        </is>
      </c>
      <c r="C160" s="3" t="inlineStr">
        <is>
          <t>2026-03-16</t>
        </is>
      </c>
      <c r="D160" s="3" t="n">
        <v>4</v>
      </c>
      <c r="E160" s="3" t="inlineStr"/>
      <c r="F160" s="4" t="n">
        <v>5</v>
      </c>
      <c r="G160" s="3" t="inlineStr">
        <is>
          <t>Simplify</t>
        </is>
      </c>
      <c r="H160" s="2" t="inlineStr">
        <is>
          <t>Stoke-on-Trent, UK</t>
        </is>
      </c>
      <c r="I160" s="5">
        <f>HYPERLINK("https://gevernova.wd5.myworkdayjobs.com/only_confidential_executive_recruiting/job/Stafford/Software---Systems-Engineering-Intern-1_R5035167-1","↗")</f>
        <v/>
      </c>
      <c r="J160" s="3" t="inlineStr">
        <is>
          <t>No</t>
        </is>
      </c>
      <c r="K160" s="3" t="inlineStr"/>
      <c r="L160" s="2" t="inlineStr"/>
      <c r="M160" s="2" t="inlineStr"/>
      <c r="N160" s="2" t="inlineStr"/>
      <c r="O160" s="2" t="inlineStr"/>
    </row>
    <row r="161" ht="16" customHeight="1">
      <c r="A161" s="2" t="inlineStr">
        <is>
          <t>Software / Systems Engineering Intern-1</t>
        </is>
      </c>
      <c r="B161" s="2" t="inlineStr">
        <is>
          <t>GE Vernova</t>
        </is>
      </c>
      <c r="C161" s="3" t="inlineStr">
        <is>
          <t>2026-03-16</t>
        </is>
      </c>
      <c r="D161" s="3" t="n">
        <v>4</v>
      </c>
      <c r="E161" s="3" t="inlineStr"/>
      <c r="F161" s="4" t="n">
        <v>5</v>
      </c>
      <c r="G161" s="3" t="inlineStr">
        <is>
          <t>Simplify</t>
        </is>
      </c>
      <c r="H161" s="2" t="inlineStr">
        <is>
          <t>Stoke-on-Trent, UK</t>
        </is>
      </c>
      <c r="I161" s="5">
        <f>HYPERLINK("https://gevernova.wd5.myworkdayjobs.com/vernova_externalsite/job/Stafford/Software---Systems-Engineering-Intern-1_R5035167-2","↗")</f>
        <v/>
      </c>
      <c r="J161" s="3" t="inlineStr">
        <is>
          <t>No</t>
        </is>
      </c>
      <c r="K161" s="3" t="inlineStr"/>
      <c r="L161" s="2" t="inlineStr"/>
      <c r="M161" s="2" t="inlineStr"/>
      <c r="N161" s="2" t="inlineStr"/>
      <c r="O161" s="2" t="inlineStr"/>
    </row>
    <row r="162" ht="16" customHeight="1">
      <c r="A162" s="2" t="inlineStr">
        <is>
          <t>Controls Application Engineering Intern</t>
        </is>
      </c>
      <c r="B162" s="2" t="inlineStr">
        <is>
          <t>GE Vernova</t>
        </is>
      </c>
      <c r="C162" s="3" t="inlineStr">
        <is>
          <t>2026-03-16</t>
        </is>
      </c>
      <c r="D162" s="3" t="n">
        <v>4</v>
      </c>
      <c r="E162" s="3" t="inlineStr"/>
      <c r="F162" s="4" t="n">
        <v>5</v>
      </c>
      <c r="G162" s="3" t="inlineStr">
        <is>
          <t>Simplify</t>
        </is>
      </c>
      <c r="H162" s="2" t="inlineStr">
        <is>
          <t>Stoke-on-Trent, UK</t>
        </is>
      </c>
      <c r="I162" s="5">
        <f>HYPERLINK("https://gevernova.wd5.myworkdayjobs.com/only_confidential_executive_recruiting/job/Stafford/Controls-Application-Engineering-Intern_R5035278-2","↗")</f>
        <v/>
      </c>
      <c r="J162" s="3" t="inlineStr">
        <is>
          <t>No</t>
        </is>
      </c>
      <c r="K162" s="3" t="inlineStr"/>
      <c r="L162" s="2" t="inlineStr"/>
      <c r="M162" s="2" t="inlineStr"/>
      <c r="N162" s="2" t="inlineStr"/>
      <c r="O162" s="2" t="inlineStr"/>
    </row>
    <row r="163" ht="16" customHeight="1">
      <c r="A163" s="2" t="inlineStr">
        <is>
          <t>Software / Systems Engineering Intern</t>
        </is>
      </c>
      <c r="B163" s="2" t="inlineStr">
        <is>
          <t>GE Vernova</t>
        </is>
      </c>
      <c r="C163" s="3" t="inlineStr">
        <is>
          <t>2026-03-16</t>
        </is>
      </c>
      <c r="D163" s="3" t="n">
        <v>4</v>
      </c>
      <c r="E163" s="3" t="inlineStr"/>
      <c r="F163" s="4" t="n">
        <v>5</v>
      </c>
      <c r="G163" s="3" t="inlineStr">
        <is>
          <t>Simplify</t>
        </is>
      </c>
      <c r="H163" s="2" t="inlineStr">
        <is>
          <t>Stoke-on-Trent, UK</t>
        </is>
      </c>
      <c r="I163" s="5">
        <f>HYPERLINK("https://gevernova.wd5.myworkdayjobs.com/vernova_externalsite/job/Stafford/Software---Systems-Engineering-Intern-2_R5035166-2","↗")</f>
        <v/>
      </c>
      <c r="J163" s="3" t="inlineStr">
        <is>
          <t>No</t>
        </is>
      </c>
      <c r="K163" s="3" t="inlineStr"/>
      <c r="L163" s="2" t="inlineStr"/>
      <c r="M163" s="2" t="inlineStr"/>
      <c r="N163" s="2" t="inlineStr"/>
      <c r="O163" s="2" t="inlineStr"/>
    </row>
    <row r="164" ht="16" customHeight="1">
      <c r="A164" s="2" t="inlineStr">
        <is>
          <t>College Intern - AI Business Applications Support</t>
        </is>
      </c>
      <c r="B164" s="2" t="inlineStr">
        <is>
          <t>Hewlett Packard (HP)</t>
        </is>
      </c>
      <c r="C164" s="3" t="inlineStr">
        <is>
          <t>2026-03-16</t>
        </is>
      </c>
      <c r="D164" s="3" t="n">
        <v>4</v>
      </c>
      <c r="E164" s="3" t="inlineStr">
        <is>
          <t>TX</t>
        </is>
      </c>
      <c r="F164" s="4" t="n">
        <v>4</v>
      </c>
      <c r="G164" s="3" t="inlineStr">
        <is>
          <t>Simplify</t>
        </is>
      </c>
      <c r="H164" s="2" t="inlineStr">
        <is>
          <t>Spring, TX</t>
        </is>
      </c>
      <c r="I164" s="5">
        <f>HYPERLINK("https://hp.wd5.myworkdayjobs.com/externalcareersite/job/Spring-Texas-United-States-of-America/College-Intern---AI-Business-Applications-Support_UNI2539-1","↗")</f>
        <v/>
      </c>
      <c r="J164" s="3" t="inlineStr">
        <is>
          <t>No</t>
        </is>
      </c>
      <c r="K164" s="3" t="inlineStr"/>
      <c r="L164" s="2" t="inlineStr"/>
      <c r="M164" s="2" t="inlineStr"/>
      <c r="N164" s="2" t="inlineStr"/>
      <c r="O164" s="2" t="inlineStr"/>
    </row>
    <row r="165" ht="16" customHeight="1">
      <c r="A165" s="2" t="inlineStr">
        <is>
          <t>Software Engineering Intern - HP IQ</t>
        </is>
      </c>
      <c r="B165" s="2" t="inlineStr">
        <is>
          <t>Hewlett Packard (HP)</t>
        </is>
      </c>
      <c r="C165" s="3" t="inlineStr">
        <is>
          <t>2026-03-16</t>
        </is>
      </c>
      <c r="D165" s="3" t="n">
        <v>4</v>
      </c>
      <c r="E165" s="3" t="inlineStr"/>
      <c r="F165" s="7" t="n">
        <v>11</v>
      </c>
      <c r="G165" s="3" t="inlineStr">
        <is>
          <t>Simplify</t>
        </is>
      </c>
      <c r="H165" s="2" t="inlineStr">
        <is>
          <t>SF</t>
        </is>
      </c>
      <c r="I165" s="5">
        <f>HYPERLINK("https://hp.wd5.myworkdayjobs.com/externalcareersite/job/San-Francisco-California-United-States-of-America/Software-Engineering-Intern--Device-Experiences---HP-IQ_3160497-1","↗")</f>
        <v/>
      </c>
      <c r="J165" s="3" t="inlineStr">
        <is>
          <t>No</t>
        </is>
      </c>
      <c r="K165" s="3" t="inlineStr"/>
      <c r="L165" s="2" t="inlineStr"/>
      <c r="M165" s="2" t="inlineStr"/>
      <c r="N165" s="2" t="inlineStr"/>
      <c r="O165" s="2" t="inlineStr"/>
    </row>
    <row r="166" ht="16" customHeight="1">
      <c r="A166" s="2" t="inlineStr">
        <is>
          <t>Browser Software Engineer Intern</t>
        </is>
      </c>
      <c r="B166" s="2" t="inlineStr">
        <is>
          <t>Hewlett Packard (HP)</t>
        </is>
      </c>
      <c r="C166" s="3" t="inlineStr">
        <is>
          <t>2026-03-16</t>
        </is>
      </c>
      <c r="D166" s="3" t="n">
        <v>4</v>
      </c>
      <c r="E166" s="3" t="inlineStr">
        <is>
          <t>CA</t>
        </is>
      </c>
      <c r="F166" s="4" t="n">
        <v>7</v>
      </c>
      <c r="G166" s="3" t="inlineStr">
        <is>
          <t>Simplify</t>
        </is>
      </c>
      <c r="H166" s="2" t="inlineStr">
        <is>
          <t>Cambridge, UK</t>
        </is>
      </c>
      <c r="I166" s="5">
        <f>HYPERLINK("https://hp.wd5.myworkdayjobs.com/externalcareersite/job/Cambridge-Cambridgeshire-United-Kingdom/Browser-Software-Engineer-Intern_3160410-1","↗")</f>
        <v/>
      </c>
      <c r="J166" s="3" t="inlineStr">
        <is>
          <t>No</t>
        </is>
      </c>
      <c r="K166" s="3" t="inlineStr"/>
      <c r="L166" s="2" t="inlineStr"/>
      <c r="M166" s="2" t="inlineStr"/>
      <c r="N166" s="2" t="inlineStr"/>
      <c r="O166" s="2" t="inlineStr"/>
    </row>
    <row r="167" ht="16" customHeight="1">
      <c r="A167" s="2" t="inlineStr">
        <is>
          <t>Software Engineer Intern - Cloud Services - HP IQ</t>
        </is>
      </c>
      <c r="B167" s="2" t="inlineStr">
        <is>
          <t>Hewlett Packard (HP)</t>
        </is>
      </c>
      <c r="C167" s="3" t="inlineStr">
        <is>
          <t>2026-03-16</t>
        </is>
      </c>
      <c r="D167" s="3" t="n">
        <v>4</v>
      </c>
      <c r="E167" s="3" t="inlineStr"/>
      <c r="F167" s="7" t="n">
        <v>11</v>
      </c>
      <c r="G167" s="3" t="inlineStr">
        <is>
          <t>Simplify</t>
        </is>
      </c>
      <c r="H167" s="2" t="inlineStr">
        <is>
          <t>SF</t>
        </is>
      </c>
      <c r="I167" s="5">
        <f>HYPERLINK("https://hp.wd5.myworkdayjobs.com/externalcareersite/job/San-Francisco-California-United-States-of-America/Software-Engineer-Intern--Cloud-Services---HP-IQ_3160773-1","↗")</f>
        <v/>
      </c>
      <c r="J167" s="3" t="inlineStr">
        <is>
          <t>No</t>
        </is>
      </c>
      <c r="K167" s="3" t="inlineStr"/>
      <c r="L167" s="2" t="inlineStr"/>
      <c r="M167" s="2" t="inlineStr"/>
      <c r="N167" s="2" t="inlineStr"/>
      <c r="O167" s="2" t="inlineStr"/>
    </row>
    <row r="168" ht="16" customHeight="1">
      <c r="A168" s="35" t="inlineStr">
        <is>
          <t>Starz Intern - Software Developer</t>
        </is>
      </c>
      <c r="B168" s="8" t="inlineStr">
        <is>
          <t>Starz</t>
        </is>
      </c>
      <c r="C168" s="9" t="inlineStr">
        <is>
          <t>2026-03-16</t>
        </is>
      </c>
      <c r="D168" s="9" t="n">
        <v>4</v>
      </c>
      <c r="E168" s="9" t="inlineStr">
        <is>
          <t>Remote</t>
        </is>
      </c>
      <c r="F168" s="11" t="n">
        <v>5</v>
      </c>
      <c r="G168" s="9" t="inlineStr">
        <is>
          <t>Simplify</t>
        </is>
      </c>
      <c r="H168" s="8" t="inlineStr">
        <is>
          <t>Remote in USA</t>
        </is>
      </c>
      <c r="I168" s="10">
        <f>HYPERLINK("https://starz.wd5.myworkdayjobs.com/Starz/job/US-Remote/STARZ-Intern--Software-Development_JR100319","↗")</f>
        <v/>
      </c>
      <c r="J168" s="36" t="inlineStr">
        <is>
          <t>Yes</t>
        </is>
      </c>
      <c r="K168" s="9" t="inlineStr"/>
      <c r="L168" s="8" t="inlineStr"/>
      <c r="M168" s="8" t="inlineStr"/>
      <c r="N168" s="8" t="inlineStr"/>
      <c r="O168" s="8" t="inlineStr"/>
    </row>
    <row r="169" ht="16" customHeight="1">
      <c r="A169" s="2" t="inlineStr">
        <is>
          <t>Software Engineering Intern - Consumer AI</t>
        </is>
      </c>
      <c r="B169" s="2" t="inlineStr">
        <is>
          <t>DotDash Meredith</t>
        </is>
      </c>
      <c r="C169" s="3" t="inlineStr">
        <is>
          <t>2026-03-16</t>
        </is>
      </c>
      <c r="D169" s="3" t="n">
        <v>4</v>
      </c>
      <c r="E169" s="3" t="inlineStr">
        <is>
          <t>CA</t>
        </is>
      </c>
      <c r="F169" s="6" t="n">
        <v>13</v>
      </c>
      <c r="G169" s="3" t="inlineStr">
        <is>
          <t>Simplify</t>
        </is>
      </c>
      <c r="H169" s="2" t="inlineStr">
        <is>
          <t>Alberta, Canada</t>
        </is>
      </c>
      <c r="I169" s="5">
        <f>HYPERLINK("https://meredith.wd5.myworkdayjobs.com/en-US/EXT/job/Canada---Alberta/Software-Engineering-Intern--Consumer-AI_JR15312","↗")</f>
        <v/>
      </c>
      <c r="J169" s="3" t="inlineStr">
        <is>
          <t>No</t>
        </is>
      </c>
      <c r="K169" s="3" t="inlineStr"/>
      <c r="L169" s="2" t="inlineStr"/>
      <c r="M169" s="2" t="inlineStr"/>
      <c r="N169" s="2" t="inlineStr"/>
      <c r="O169" s="2" t="inlineStr"/>
    </row>
    <row r="170" ht="16" customHeight="1">
      <c r="A170" s="2" t="inlineStr">
        <is>
          <t>Controls Application Engineering Intern</t>
        </is>
      </c>
      <c r="B170" s="2" t="inlineStr">
        <is>
          <t>GE Vernova</t>
        </is>
      </c>
      <c r="C170" s="3" t="inlineStr">
        <is>
          <t>2026-03-16</t>
        </is>
      </c>
      <c r="D170" s="3" t="n">
        <v>4</v>
      </c>
      <c r="E170" s="3" t="inlineStr"/>
      <c r="F170" s="4" t="n">
        <v>5</v>
      </c>
      <c r="G170" s="3" t="inlineStr">
        <is>
          <t>Simplify</t>
        </is>
      </c>
      <c r="H170" s="2" t="inlineStr">
        <is>
          <t>Stoke-on-Trent, UK</t>
        </is>
      </c>
      <c r="I170" s="5">
        <f>HYPERLINK("https://gevernova.wd5.myworkdayjobs.com/vernova_externalsite/job/Stafford/Controls-Application-Engineering-Intern_R5035275-3","↗")</f>
        <v/>
      </c>
      <c r="J170" s="3" t="inlineStr">
        <is>
          <t>No</t>
        </is>
      </c>
      <c r="K170" s="3" t="inlineStr"/>
      <c r="L170" s="2" t="inlineStr"/>
      <c r="M170" s="2" t="inlineStr"/>
      <c r="N170" s="2" t="inlineStr"/>
      <c r="O170" s="2" t="inlineStr"/>
    </row>
    <row r="171" ht="16" customHeight="1">
      <c r="A171" s="26" t="inlineStr">
        <is>
          <t>Software Engineering Intern</t>
        </is>
      </c>
      <c r="B171" s="2" t="inlineStr">
        <is>
          <t>CAE</t>
        </is>
      </c>
      <c r="C171" s="3" t="inlineStr">
        <is>
          <t>2026-03-16</t>
        </is>
      </c>
      <c r="D171" s="3" t="n">
        <v>4</v>
      </c>
      <c r="E171" s="3" t="inlineStr">
        <is>
          <t>TX</t>
        </is>
      </c>
      <c r="F171" s="7" t="n">
        <v>11</v>
      </c>
      <c r="G171" s="3" t="inlineStr">
        <is>
          <t>Simplify</t>
        </is>
      </c>
      <c r="H171" s="2" t="inlineStr">
        <is>
          <t>Arlington, TX</t>
        </is>
      </c>
      <c r="I171" s="5">
        <f>HYPERLINK("https://cae.wd3.myworkdayjobs.com/career/job/Arlington-TX/Software-Engineering-Intern_118247-1","↗")</f>
        <v/>
      </c>
      <c r="J171" s="27" t="inlineStr">
        <is>
          <t>Yes</t>
        </is>
      </c>
      <c r="K171" s="3" t="inlineStr"/>
      <c r="L171" s="2" t="inlineStr"/>
      <c r="M171" s="2" t="inlineStr"/>
      <c r="N171" s="2" t="inlineStr"/>
      <c r="O171" s="2" t="inlineStr"/>
    </row>
    <row r="172" ht="16" customHeight="1">
      <c r="A172" s="2" t="inlineStr">
        <is>
          <t>Software Engineer Intern - Backend</t>
        </is>
      </c>
      <c r="B172" s="2" t="inlineStr">
        <is>
          <t>Cambridge Mobile Telematics</t>
        </is>
      </c>
      <c r="C172" s="3" t="inlineStr">
        <is>
          <t>2026-03-16</t>
        </is>
      </c>
      <c r="D172" s="3" t="n">
        <v>4</v>
      </c>
      <c r="E172" s="3" t="inlineStr">
        <is>
          <t>CA</t>
        </is>
      </c>
      <c r="F172" s="6" t="n">
        <v>15</v>
      </c>
      <c r="G172" s="3" t="inlineStr">
        <is>
          <t>Simplify</t>
        </is>
      </c>
      <c r="H172" s="2" t="inlineStr">
        <is>
          <t>Cambridge, MA</t>
        </is>
      </c>
      <c r="I172" s="5">
        <f>HYPERLINK("https://job-boards.greenhouse.io/cmt/jobs/7699299","↗")</f>
        <v/>
      </c>
      <c r="J172" s="3" t="inlineStr">
        <is>
          <t>No</t>
        </is>
      </c>
      <c r="K172" s="3" t="inlineStr"/>
      <c r="L172" s="2" t="inlineStr"/>
      <c r="M172" s="2" t="inlineStr"/>
      <c r="N172" s="2" t="inlineStr"/>
      <c r="O172" s="2" t="inlineStr"/>
    </row>
    <row r="173" ht="16" customHeight="1">
      <c r="A173" s="12" t="inlineStr">
        <is>
          <t>Software Engineer Intern - Core Services</t>
        </is>
      </c>
      <c r="B173" s="12" t="inlineStr">
        <is>
          <t>Gamechanger</t>
        </is>
      </c>
      <c r="C173" s="13" t="inlineStr">
        <is>
          <t>2026-03-16</t>
        </is>
      </c>
      <c r="D173" s="13" t="n">
        <v>4</v>
      </c>
      <c r="E173" s="13" t="inlineStr">
        <is>
          <t>NY</t>
        </is>
      </c>
      <c r="F173" s="7" t="n">
        <v>9</v>
      </c>
      <c r="G173" s="13" t="inlineStr">
        <is>
          <t>Simplify</t>
        </is>
      </c>
      <c r="H173" s="12" t="inlineStr">
        <is>
          <t>NYC</t>
        </is>
      </c>
      <c r="I173" s="15">
        <f>HYPERLINK("https://jobs.ashbyhq.com/gamechanger/c13c7bc6-8f36-470c-b7de-787919a0c6f8/application","↗")</f>
        <v/>
      </c>
      <c r="J173" s="13" t="inlineStr">
        <is>
          <t>No</t>
        </is>
      </c>
      <c r="K173" s="13" t="inlineStr"/>
      <c r="L173" s="12" t="inlineStr"/>
      <c r="M173" s="12" t="inlineStr"/>
      <c r="N173" s="12" t="inlineStr"/>
      <c r="O173" s="12" t="inlineStr"/>
    </row>
    <row r="174" ht="16" customHeight="1">
      <c r="A174" s="12" t="inlineStr">
        <is>
          <t>Android Software Engineer Intern - Stats and Insights</t>
        </is>
      </c>
      <c r="B174" s="12" t="inlineStr">
        <is>
          <t>Gamechanger</t>
        </is>
      </c>
      <c r="C174" s="13" t="inlineStr">
        <is>
          <t>2026-03-16</t>
        </is>
      </c>
      <c r="D174" s="13" t="n">
        <v>4</v>
      </c>
      <c r="E174" s="13" t="inlineStr">
        <is>
          <t>NY</t>
        </is>
      </c>
      <c r="F174" s="14" t="n">
        <v>7</v>
      </c>
      <c r="G174" s="13" t="inlineStr">
        <is>
          <t>Simplify</t>
        </is>
      </c>
      <c r="H174" s="12" t="inlineStr">
        <is>
          <t>NYC</t>
        </is>
      </c>
      <c r="I174" s="15">
        <f>HYPERLINK("https://jobs.ashbyhq.com/gamechanger/63196fe3-e59b-4f98-842f-d92b3eabc9e5/application","↗")</f>
        <v/>
      </c>
      <c r="J174" s="13" t="inlineStr">
        <is>
          <t>No</t>
        </is>
      </c>
      <c r="K174" s="13" t="inlineStr"/>
      <c r="L174" s="12" t="inlineStr"/>
      <c r="M174" s="12" t="inlineStr"/>
      <c r="N174" s="12" t="inlineStr"/>
      <c r="O174" s="12" t="inlineStr"/>
    </row>
    <row r="175" ht="16" customHeight="1">
      <c r="A175" s="22" t="inlineStr">
        <is>
          <t>Software Developer Intern</t>
        </is>
      </c>
      <c r="B175" s="22" t="inlineStr">
        <is>
          <t>iPipeline</t>
        </is>
      </c>
      <c r="C175" s="23" t="inlineStr">
        <is>
          <t>2026-03-16</t>
        </is>
      </c>
      <c r="D175" s="23" t="n">
        <v>4</v>
      </c>
      <c r="E175" s="23" t="inlineStr">
        <is>
          <t>PA</t>
        </is>
      </c>
      <c r="F175" s="24" t="n">
        <v>5</v>
      </c>
      <c r="G175" s="23" t="inlineStr">
        <is>
          <t>Simplify</t>
        </is>
      </c>
      <c r="H175" s="22" t="inlineStr">
        <is>
          <t>Exton, PA</t>
        </is>
      </c>
      <c r="I175" s="25">
        <f>HYPERLINK("https://careers-ipipeline.icims.com/jobs/1596/job?mobile=true&amp;needsRedirect=false","↗")</f>
        <v/>
      </c>
      <c r="J175" s="23" t="inlineStr">
        <is>
          <t>No</t>
        </is>
      </c>
      <c r="K175" s="23" t="inlineStr"/>
      <c r="L175" s="22" t="inlineStr"/>
      <c r="M175" s="22" t="inlineStr"/>
      <c r="N175" s="22" t="inlineStr"/>
      <c r="O175" s="22" t="inlineStr"/>
    </row>
    <row r="176" ht="16" customHeight="1">
      <c r="A176" s="2" t="inlineStr">
        <is>
          <t>Software Developer Intern</t>
        </is>
      </c>
      <c r="B176" s="2" t="inlineStr">
        <is>
          <t>iPipeline</t>
        </is>
      </c>
      <c r="C176" s="3" t="inlineStr">
        <is>
          <t>2026-03-16</t>
        </is>
      </c>
      <c r="D176" s="3" t="n">
        <v>4</v>
      </c>
      <c r="E176" s="3" t="inlineStr">
        <is>
          <t>FL</t>
        </is>
      </c>
      <c r="F176" s="4" t="n">
        <v>5</v>
      </c>
      <c r="G176" s="3" t="inlineStr">
        <is>
          <t>Simplify</t>
        </is>
      </c>
      <c r="H176" s="2" t="inlineStr">
        <is>
          <t>Fort Lauderdale, FL</t>
        </is>
      </c>
      <c r="I176" s="5">
        <f>HYPERLINK("https://careers-ipipeline.icims.com/jobs/1591/job?mobile=true&amp;needsRedirect=false","↗")</f>
        <v/>
      </c>
      <c r="J176" s="3" t="inlineStr">
        <is>
          <t>No</t>
        </is>
      </c>
      <c r="K176" s="3" t="inlineStr"/>
      <c r="L176" s="2" t="inlineStr"/>
      <c r="M176" s="2" t="inlineStr"/>
      <c r="N176" s="2" t="inlineStr"/>
      <c r="O176" s="2" t="inlineStr"/>
    </row>
    <row r="177" ht="16" customHeight="1">
      <c r="A177" s="26" t="inlineStr">
        <is>
          <t>Software Developer Intern</t>
        </is>
      </c>
      <c r="B177" s="2" t="inlineStr">
        <is>
          <t>STCU</t>
        </is>
      </c>
      <c r="C177" s="3" t="inlineStr">
        <is>
          <t>2026-03-16</t>
        </is>
      </c>
      <c r="D177" s="3" t="n">
        <v>4</v>
      </c>
      <c r="E177" s="3" t="inlineStr">
        <is>
          <t>WA</t>
        </is>
      </c>
      <c r="F177" s="4" t="n">
        <v>5</v>
      </c>
      <c r="G177" s="3" t="inlineStr">
        <is>
          <t>Simplify</t>
        </is>
      </c>
      <c r="H177" s="2" t="inlineStr">
        <is>
          <t>Liberty Lake, WA</t>
        </is>
      </c>
      <c r="I177" s="5">
        <f>HYPERLINK("https://jobs.smartrecruiters.com/STCU1/744000114977297","↗")</f>
        <v/>
      </c>
      <c r="J177" s="27" t="inlineStr">
        <is>
          <t>Yes</t>
        </is>
      </c>
      <c r="K177" s="3" t="inlineStr"/>
      <c r="L177" s="2" t="inlineStr"/>
      <c r="M177" s="2" t="inlineStr"/>
      <c r="N177" s="2" t="inlineStr"/>
      <c r="O177" s="2" t="inlineStr"/>
    </row>
    <row r="178" ht="16" customHeight="1">
      <c r="A178" s="37" t="inlineStr">
        <is>
          <t>Software Engineer Intern</t>
        </is>
      </c>
      <c r="B178" s="19" t="inlineStr">
        <is>
          <t>HERE</t>
        </is>
      </c>
      <c r="C178" s="20" t="inlineStr">
        <is>
          <t>2026-03-16</t>
        </is>
      </c>
      <c r="D178" s="20" t="n">
        <v>4</v>
      </c>
      <c r="E178" s="20" t="inlineStr">
        <is>
          <t>IL</t>
        </is>
      </c>
      <c r="F178" s="32" t="n">
        <v>7</v>
      </c>
      <c r="G178" s="20" t="inlineStr">
        <is>
          <t>AlmondCroffle</t>
        </is>
      </c>
      <c r="H178" s="19" t="inlineStr">
        <is>
          <t>Chicago, IL</t>
        </is>
      </c>
      <c r="I178" s="21">
        <f>HYPERLINK("https://careers-here.icims.com/jobs/80772/software-engineer-intern/job","↗")</f>
        <v/>
      </c>
      <c r="J178" s="38" t="inlineStr">
        <is>
          <t>Yes</t>
        </is>
      </c>
      <c r="K178" s="20" t="inlineStr"/>
      <c r="L178" s="19" t="inlineStr"/>
      <c r="M178" s="19" t="inlineStr"/>
      <c r="N178" s="19" t="inlineStr"/>
      <c r="O178" s="19" t="inlineStr"/>
    </row>
    <row r="179" ht="16" customHeight="1">
      <c r="A179" s="39" t="inlineStr">
        <is>
          <t>Software Engineer Intern</t>
        </is>
      </c>
      <c r="B179" s="16" t="inlineStr">
        <is>
          <t>HERE</t>
        </is>
      </c>
      <c r="C179" s="17" t="inlineStr">
        <is>
          <t>2026-03-16</t>
        </is>
      </c>
      <c r="D179" s="17" t="n">
        <v>4</v>
      </c>
      <c r="E179" s="17" t="inlineStr">
        <is>
          <t>IL</t>
        </is>
      </c>
      <c r="F179" s="40" t="n">
        <v>7</v>
      </c>
      <c r="G179" s="17" t="inlineStr">
        <is>
          <t>AlmondCroffle</t>
        </is>
      </c>
      <c r="H179" s="16" t="inlineStr">
        <is>
          <t>Chicago, IL</t>
        </is>
      </c>
      <c r="I179" s="18">
        <f>HYPERLINK("https://careers-here.icims.com/jobs/80793/software-engineer-intern/job","↗")</f>
        <v/>
      </c>
      <c r="J179" s="41" t="inlineStr">
        <is>
          <t>Yes</t>
        </is>
      </c>
      <c r="K179" s="17" t="inlineStr"/>
      <c r="L179" s="16" t="inlineStr"/>
      <c r="M179" s="16" t="inlineStr"/>
      <c r="N179" s="16" t="inlineStr"/>
      <c r="O179" s="16" t="inlineStr"/>
    </row>
    <row r="180" ht="16" customHeight="1">
      <c r="A180" s="37" t="inlineStr">
        <is>
          <t>Firmware Engineering Co-Op</t>
        </is>
      </c>
      <c r="B180" s="19" t="inlineStr">
        <is>
          <t>OnLogic</t>
        </is>
      </c>
      <c r="C180" s="20" t="inlineStr">
        <is>
          <t>2026-03-16</t>
        </is>
      </c>
      <c r="D180" s="20" t="n">
        <v>4</v>
      </c>
      <c r="E180" s="20" t="inlineStr">
        <is>
          <t>CA</t>
        </is>
      </c>
      <c r="F180" s="32" t="n">
        <v>7</v>
      </c>
      <c r="G180" s="20" t="inlineStr">
        <is>
          <t>AlmondCroffle</t>
        </is>
      </c>
      <c r="H180" s="19" t="inlineStr">
        <is>
          <t>Cary, NC</t>
        </is>
      </c>
      <c r="I180" s="21">
        <f>HYPERLINK("https://apply.workable.com/onlogic-inc/j/3216896A90/","↗")</f>
        <v/>
      </c>
      <c r="J180" s="38" t="inlineStr">
        <is>
          <t>Yes</t>
        </is>
      </c>
      <c r="K180" s="20" t="inlineStr"/>
      <c r="L180" s="19" t="inlineStr"/>
      <c r="M180" s="19" t="inlineStr"/>
      <c r="N180" s="19" t="inlineStr"/>
      <c r="O180" s="19" t="inlineStr"/>
    </row>
    <row r="181" ht="16" customHeight="1">
      <c r="A181" s="39" t="inlineStr">
        <is>
          <t>Firmware Engineering Internship</t>
        </is>
      </c>
      <c r="B181" s="16" t="inlineStr">
        <is>
          <t>OnLogic</t>
        </is>
      </c>
      <c r="C181" s="17" t="inlineStr">
        <is>
          <t>2026-03-16</t>
        </is>
      </c>
      <c r="D181" s="17" t="n">
        <v>4</v>
      </c>
      <c r="E181" s="17" t="inlineStr"/>
      <c r="F181" s="40" t="n">
        <v>7</v>
      </c>
      <c r="G181" s="17" t="inlineStr">
        <is>
          <t>AlmondCroffle</t>
        </is>
      </c>
      <c r="H181" s="16" t="inlineStr">
        <is>
          <t>South Burlington, VT</t>
        </is>
      </c>
      <c r="I181" s="18">
        <f>HYPERLINK("https://apply.workable.com/onlogic-inc/j/8291FD6903/","↗")</f>
        <v/>
      </c>
      <c r="J181" s="41" t="inlineStr">
        <is>
          <t>Yes</t>
        </is>
      </c>
      <c r="K181" s="17" t="inlineStr"/>
      <c r="L181" s="16" t="inlineStr"/>
      <c r="M181" s="16" t="inlineStr"/>
      <c r="N181" s="16" t="inlineStr"/>
      <c r="O181" s="16" t="inlineStr"/>
    </row>
    <row r="182" ht="16" customHeight="1">
      <c r="A182" s="19" t="inlineStr">
        <is>
          <t>Cloud Operations Intern-DevOps</t>
        </is>
      </c>
      <c r="B182" s="19" t="inlineStr">
        <is>
          <t>Alarm.com</t>
        </is>
      </c>
      <c r="C182" s="20" t="inlineStr">
        <is>
          <t>2026-03-16</t>
        </is>
      </c>
      <c r="D182" s="20" t="n">
        <v>4</v>
      </c>
      <c r="E182" s="20" t="inlineStr">
        <is>
          <t>VA</t>
        </is>
      </c>
      <c r="F182" s="32" t="n">
        <v>5</v>
      </c>
      <c r="G182" s="20" t="inlineStr">
        <is>
          <t>AlmondCroffle</t>
        </is>
      </c>
      <c r="H182" s="19" t="inlineStr">
        <is>
          <t>Tysons, VA</t>
        </is>
      </c>
      <c r="I182" s="21">
        <f>HYPERLINK("https://job-boards.greenhouse.io/alarmcom/jobs/8440261002","↗")</f>
        <v/>
      </c>
      <c r="J182" s="20" t="inlineStr">
        <is>
          <t>No</t>
        </is>
      </c>
      <c r="K182" s="20" t="inlineStr"/>
      <c r="L182" s="19" t="inlineStr"/>
      <c r="M182" s="19" t="inlineStr"/>
      <c r="N182" s="19" t="inlineStr"/>
      <c r="O182" s="19" t="inlineStr"/>
    </row>
    <row r="183" ht="16" customHeight="1">
      <c r="A183" s="2" t="inlineStr">
        <is>
          <t>Data Engineering Intern</t>
        </is>
      </c>
      <c r="B183" s="2" t="inlineStr">
        <is>
          <t>State of Nebraska</t>
        </is>
      </c>
      <c r="C183" s="3" t="inlineStr">
        <is>
          <t>2026-03-16</t>
        </is>
      </c>
      <c r="D183" s="3" t="n">
        <v>4</v>
      </c>
      <c r="E183" s="3" t="inlineStr"/>
      <c r="F183" s="4" t="n">
        <v>4</v>
      </c>
      <c r="G183" s="3" t="inlineStr">
        <is>
          <t>Simplify</t>
        </is>
      </c>
      <c r="H183" s="2" t="inlineStr">
        <is>
          <t>Lincoln, NE</t>
        </is>
      </c>
      <c r="I183" s="5">
        <f>HYPERLINK("https://son.wd108.myworkdayjobs.com/NebraskaStateCareers/job/Lincoln-NE/Data-Engineering-Internship--Summer-2026-_JR2026-00024071","↗")</f>
        <v/>
      </c>
      <c r="J183" s="3" t="inlineStr">
        <is>
          <t>No</t>
        </is>
      </c>
      <c r="K183" s="3" t="inlineStr"/>
      <c r="L183" s="2" t="inlineStr"/>
      <c r="M183" s="2" t="inlineStr"/>
      <c r="N183" s="2" t="inlineStr"/>
      <c r="O183" s="2" t="inlineStr"/>
    </row>
    <row r="184" ht="16" customHeight="1">
      <c r="A184" s="2" t="inlineStr">
        <is>
          <t>Intern Program - Data Science</t>
        </is>
      </c>
      <c r="B184" s="2" t="inlineStr">
        <is>
          <t>Red Bull</t>
        </is>
      </c>
      <c r="C184" s="3" t="inlineStr">
        <is>
          <t>2026-03-16</t>
        </is>
      </c>
      <c r="D184" s="3" t="n">
        <v>4</v>
      </c>
      <c r="E184" s="3" t="inlineStr">
        <is>
          <t>CA</t>
        </is>
      </c>
      <c r="F184" s="4" t="n">
        <v>5</v>
      </c>
      <c r="G184" s="3" t="inlineStr">
        <is>
          <t>Simplify</t>
        </is>
      </c>
      <c r="H184" s="2" t="inlineStr">
        <is>
          <t>Santa Monica, CA</t>
        </is>
      </c>
      <c r="I184" s="5">
        <f>HYPERLINK("https://jobs.smartrecruiters.com/RedBull/744000114876862","↗")</f>
        <v/>
      </c>
      <c r="J184" s="3" t="inlineStr">
        <is>
          <t>No</t>
        </is>
      </c>
      <c r="K184" s="3" t="inlineStr"/>
      <c r="L184" s="2" t="inlineStr"/>
      <c r="M184" s="2" t="inlineStr"/>
      <c r="N184" s="2" t="inlineStr"/>
      <c r="O184" s="2" t="inlineStr"/>
    </row>
    <row r="185" ht="16" customHeight="1">
      <c r="A185" s="2" t="inlineStr">
        <is>
          <t>Intern - Business Intelligence</t>
        </is>
      </c>
      <c r="B185" s="2" t="inlineStr">
        <is>
          <t>Red Bull</t>
        </is>
      </c>
      <c r="C185" s="3" t="inlineStr">
        <is>
          <t>2026-03-16</t>
        </is>
      </c>
      <c r="D185" s="3" t="n">
        <v>4</v>
      </c>
      <c r="E185" s="3" t="inlineStr">
        <is>
          <t>CA</t>
        </is>
      </c>
      <c r="F185" s="4" t="n">
        <v>5</v>
      </c>
      <c r="G185" s="3" t="inlineStr">
        <is>
          <t>Simplify</t>
        </is>
      </c>
      <c r="H185" s="2" t="inlineStr">
        <is>
          <t>Santa Monica, CA</t>
        </is>
      </c>
      <c r="I185" s="5">
        <f>HYPERLINK("https://jobs.smartrecruiters.com/RedBull/744000114880788","↗")</f>
        <v/>
      </c>
      <c r="J185" s="3" t="inlineStr">
        <is>
          <t>No</t>
        </is>
      </c>
      <c r="K185" s="3" t="inlineStr"/>
      <c r="L185" s="2" t="inlineStr"/>
      <c r="M185" s="2" t="inlineStr"/>
      <c r="N185" s="2" t="inlineStr"/>
      <c r="O185" s="2" t="inlineStr"/>
    </row>
    <row r="186" ht="16" customHeight="1">
      <c r="A186" s="12" t="inlineStr">
        <is>
          <t>Data Science Intern</t>
        </is>
      </c>
      <c r="B186" s="12" t="inlineStr">
        <is>
          <t>Centific</t>
        </is>
      </c>
      <c r="C186" s="13" t="inlineStr">
        <is>
          <t>2026-03-15</t>
        </is>
      </c>
      <c r="D186" s="13" t="n">
        <v>5</v>
      </c>
      <c r="E186" s="13" t="inlineStr">
        <is>
          <t>NY</t>
        </is>
      </c>
      <c r="F186" s="14" t="n">
        <v>5</v>
      </c>
      <c r="G186" s="13" t="inlineStr">
        <is>
          <t>Simplify</t>
        </is>
      </c>
      <c r="H186" s="12" t="inlineStr">
        <is>
          <t>NYC</t>
        </is>
      </c>
      <c r="I186" s="15">
        <f>HYPERLINK("https://centific.wd1.myworkdayjobs.com/Centific_Global/job/New-York-City-New-York/Data-Science-Intern_JR106677-1","↗")</f>
        <v/>
      </c>
      <c r="J186" s="13" t="inlineStr">
        <is>
          <t>No</t>
        </is>
      </c>
      <c r="K186" s="13" t="inlineStr"/>
      <c r="L186" s="12" t="inlineStr"/>
      <c r="M186" s="12" t="inlineStr"/>
      <c r="N186" s="12" t="inlineStr"/>
      <c r="O186" s="12" t="inlineStr"/>
    </row>
    <row r="187" ht="16" customHeight="1">
      <c r="A187" s="35" t="inlineStr">
        <is>
          <t>Software Engineer Intern</t>
        </is>
      </c>
      <c r="B187" s="8" t="inlineStr">
        <is>
          <t>DotDash Meredith</t>
        </is>
      </c>
      <c r="C187" s="9" t="inlineStr">
        <is>
          <t>2026-03-14</t>
        </is>
      </c>
      <c r="D187" s="9" t="n">
        <v>6</v>
      </c>
      <c r="E187" s="9" t="inlineStr">
        <is>
          <t>Remote</t>
        </is>
      </c>
      <c r="F187" s="11" t="n">
        <v>7</v>
      </c>
      <c r="G187" s="9" t="inlineStr">
        <is>
          <t>Simplify</t>
        </is>
      </c>
      <c r="H187" s="8" t="inlineStr">
        <is>
          <t>Remote in Canada</t>
        </is>
      </c>
      <c r="I187" s="10">
        <f>HYPERLINK("https://meredith.wd5.myworkdayjobs.com/en-US/EXT/job/Alberta-CAN-Remote/Software-Engineering-Intern_JR15315-1","↗")</f>
        <v/>
      </c>
      <c r="J187" s="36" t="inlineStr">
        <is>
          <t>Yes</t>
        </is>
      </c>
      <c r="K187" s="9" t="inlineStr"/>
      <c r="L187" s="8" t="inlineStr"/>
      <c r="M187" s="8" t="inlineStr"/>
      <c r="N187" s="8" t="inlineStr"/>
      <c r="O187" s="8" t="inlineStr"/>
    </row>
    <row r="188" ht="16" customHeight="1">
      <c r="A188" s="2" t="inlineStr">
        <is>
          <t>Electronics Technician Intern</t>
        </is>
      </c>
      <c r="B188" s="2" t="inlineStr">
        <is>
          <t>Amentum</t>
        </is>
      </c>
      <c r="C188" s="3" t="inlineStr">
        <is>
          <t>2026-03-14</t>
        </is>
      </c>
      <c r="D188" s="3" t="n">
        <v>6</v>
      </c>
      <c r="E188" s="3" t="inlineStr"/>
      <c r="F188" s="4" t="n">
        <v>5</v>
      </c>
      <c r="G188" s="3" t="inlineStr">
        <is>
          <t>Simplify</t>
        </is>
      </c>
      <c r="H188" s="2" t="inlineStr">
        <is>
          <t>Bedford, IN</t>
        </is>
      </c>
      <c r="I188" s="5">
        <f>HYPERLINK("https://pae.wd1.myworkdayjobs.com/en-US/amentum_careers/job/US-IN-Crane/Electronics-Technician---Intern_R0155929","↗")</f>
        <v/>
      </c>
      <c r="J188" s="3" t="inlineStr">
        <is>
          <t>No</t>
        </is>
      </c>
      <c r="K188" s="3" t="inlineStr"/>
      <c r="L188" s="2" t="inlineStr"/>
      <c r="M188" s="2" t="inlineStr"/>
      <c r="N188" s="2" t="inlineStr"/>
      <c r="O188" s="2" t="inlineStr"/>
    </row>
    <row r="189" ht="16" customHeight="1">
      <c r="A189" s="26" t="inlineStr">
        <is>
          <t>Machine Learning Annotation and Gen AI Analyst Intern</t>
        </is>
      </c>
      <c r="B189" s="2" t="inlineStr">
        <is>
          <t xml:space="preserve"> CCC Intelligent Solutions</t>
        </is>
      </c>
      <c r="C189" s="3" t="inlineStr">
        <is>
          <t>2026-03-14</t>
        </is>
      </c>
      <c r="D189" s="3" t="n">
        <v>6</v>
      </c>
      <c r="E189" s="3" t="inlineStr">
        <is>
          <t>IL</t>
        </is>
      </c>
      <c r="F189" s="7" t="n">
        <v>8</v>
      </c>
      <c r="G189" s="3" t="inlineStr">
        <is>
          <t>Simplify</t>
        </is>
      </c>
      <c r="H189" s="2" t="inlineStr">
        <is>
          <t>Chicago, IL</t>
        </is>
      </c>
      <c r="I189" s="5">
        <f>HYPERLINK("https://cccis.wd1.myworkdayjobs.com/broadbean_external/job/Chicago-Green-St-IL/Machine-Learning---Annotation-and-Gen-AI-Analyst-Intern_0014537","↗")</f>
        <v/>
      </c>
      <c r="J189" s="27" t="inlineStr">
        <is>
          <t>Yes</t>
        </is>
      </c>
      <c r="K189" s="3" t="inlineStr"/>
      <c r="L189" s="2" t="inlineStr"/>
      <c r="M189" s="2" t="inlineStr"/>
      <c r="N189" s="2" t="inlineStr"/>
      <c r="O189" s="2" t="inlineStr"/>
    </row>
    <row r="190" ht="16" customHeight="1">
      <c r="A190" s="26" t="inlineStr">
        <is>
          <t>Controls Engineering Intern</t>
        </is>
      </c>
      <c r="B190" s="2" t="inlineStr">
        <is>
          <t>Johnson Controls</t>
        </is>
      </c>
      <c r="C190" s="3" t="inlineStr">
        <is>
          <t>2026-03-14</t>
        </is>
      </c>
      <c r="D190" s="3" t="n">
        <v>6</v>
      </c>
      <c r="E190" s="3" t="inlineStr">
        <is>
          <t>VA</t>
        </is>
      </c>
      <c r="F190" s="4" t="n">
        <v>7</v>
      </c>
      <c r="G190" s="3" t="inlineStr">
        <is>
          <t>Simplify</t>
        </is>
      </c>
      <c r="H190" s="2" t="inlineStr">
        <is>
          <t>Roanoke, VA</t>
        </is>
      </c>
      <c r="I190" s="5">
        <f>HYPERLINK("https://jci.wd5.myworkdayjobs.com/JCI/job/Salem-Virginia-United-States-of-America/Controls-Engineering-Intern_WD30261739","↗")</f>
        <v/>
      </c>
      <c r="J190" s="27" t="inlineStr">
        <is>
          <t>Yes</t>
        </is>
      </c>
      <c r="K190" s="3" t="inlineStr"/>
      <c r="L190" s="2" t="inlineStr"/>
      <c r="M190" s="2" t="inlineStr"/>
      <c r="N190" s="2" t="inlineStr"/>
      <c r="O190" s="2" t="inlineStr"/>
    </row>
    <row r="191" ht="16" customHeight="1">
      <c r="A191" s="42" t="inlineStr">
        <is>
          <t>Software Engineer Co-Op</t>
        </is>
      </c>
      <c r="B191" s="28" t="inlineStr">
        <is>
          <t>Teledyne</t>
        </is>
      </c>
      <c r="C191" s="29" t="inlineStr">
        <is>
          <t>2026-03-14</t>
        </is>
      </c>
      <c r="D191" s="29" t="n">
        <v>6</v>
      </c>
      <c r="E191" s="29" t="inlineStr">
        <is>
          <t>NJ</t>
        </is>
      </c>
      <c r="F191" s="30" t="n">
        <v>7</v>
      </c>
      <c r="G191" s="29" t="inlineStr">
        <is>
          <t>Simplify</t>
        </is>
      </c>
      <c r="H191" s="28" t="inlineStr">
        <is>
          <t>Mahwah, NJ</t>
        </is>
      </c>
      <c r="I191" s="31">
        <f>HYPERLINK("https://flir.wd1.myworkdayjobs.com/flircareers/job/US---Chestnut-Ridge-NY/Software-Engineer-Co-Op_REQ33472","↗")</f>
        <v/>
      </c>
      <c r="J191" s="43" t="inlineStr">
        <is>
          <t>Yes</t>
        </is>
      </c>
      <c r="K191" s="29" t="inlineStr"/>
      <c r="L191" s="28" t="inlineStr"/>
      <c r="M191" s="28" t="inlineStr"/>
      <c r="N191" s="28" t="inlineStr"/>
      <c r="O191" s="28" t="inlineStr"/>
    </row>
    <row r="192" ht="16" customHeight="1">
      <c r="A192" s="26" t="inlineStr">
        <is>
          <t>National Security Solutions Intern – Test &amp; Evaluation Intern</t>
        </is>
      </c>
      <c r="B192" s="2" t="inlineStr">
        <is>
          <t>KBR</t>
        </is>
      </c>
      <c r="C192" s="3" t="inlineStr">
        <is>
          <t>2026-03-14</t>
        </is>
      </c>
      <c r="D192" s="3" t="n">
        <v>6</v>
      </c>
      <c r="E192" s="3" t="inlineStr">
        <is>
          <t>CA</t>
        </is>
      </c>
      <c r="F192" s="4" t="n">
        <v>4</v>
      </c>
      <c r="G192" s="3" t="inlineStr">
        <is>
          <t>Simplify</t>
        </is>
      </c>
      <c r="H192" s="2" t="inlineStr">
        <is>
          <t>El Segundo, CA</t>
        </is>
      </c>
      <c r="I192" s="5">
        <f>HYPERLINK("https://kbr.wd5.myworkdayjobs.com/KBR_Careers/job/El-Segundo-California/National-Security-Solutions--NSS--Internship---Test---Evaluation-Intern_R2119802","↗")</f>
        <v/>
      </c>
      <c r="J192" s="27" t="inlineStr">
        <is>
          <t>Yes</t>
        </is>
      </c>
      <c r="K192" s="3" t="inlineStr"/>
      <c r="L192" s="2" t="inlineStr"/>
      <c r="M192" s="2" t="inlineStr"/>
      <c r="N192" s="2" t="inlineStr"/>
      <c r="O192" s="2" t="inlineStr"/>
    </row>
    <row r="193" ht="16" customHeight="1">
      <c r="A193" s="2" t="inlineStr">
        <is>
          <t>Student Researcher - AI Foundation Models Infrastructure - Seed Infra</t>
        </is>
      </c>
      <c r="B193" s="2" t="inlineStr">
        <is>
          <t>ByteDance</t>
        </is>
      </c>
      <c r="C193" s="3" t="inlineStr">
        <is>
          <t>2026-03-14</t>
        </is>
      </c>
      <c r="D193" s="3" t="n">
        <v>6</v>
      </c>
      <c r="E193" s="3" t="inlineStr">
        <is>
          <t>WA</t>
        </is>
      </c>
      <c r="F193" s="4" t="n">
        <v>4</v>
      </c>
      <c r="G193" s="3" t="inlineStr">
        <is>
          <t>Simplify</t>
        </is>
      </c>
      <c r="H193" s="2" t="inlineStr">
        <is>
          <t>Seattle, WA</t>
        </is>
      </c>
      <c r="I193" s="5">
        <f>HYPERLINK("https://jobs.bytedance.com/en/position/7614301443042642229/detail","↗")</f>
        <v/>
      </c>
      <c r="J193" s="3" t="inlineStr">
        <is>
          <t>No</t>
        </is>
      </c>
      <c r="K193" s="3" t="inlineStr"/>
      <c r="L193" s="2" t="inlineStr"/>
      <c r="M193" s="2" t="inlineStr"/>
      <c r="N193" s="2" t="inlineStr"/>
      <c r="O193" s="2" t="inlineStr"/>
    </row>
    <row r="194" ht="16" customHeight="1">
      <c r="A194" s="2" t="inlineStr">
        <is>
          <t>Talent Acquisition Data Engineering &amp; Analytics Intern</t>
        </is>
      </c>
      <c r="B194" s="2" t="inlineStr">
        <is>
          <t>Solidigm</t>
        </is>
      </c>
      <c r="C194" s="3" t="inlineStr">
        <is>
          <t>2026-03-14</t>
        </is>
      </c>
      <c r="D194" s="3" t="n">
        <v>6</v>
      </c>
      <c r="E194" s="3" t="inlineStr">
        <is>
          <t>CA</t>
        </is>
      </c>
      <c r="F194" s="4" t="n">
        <v>6</v>
      </c>
      <c r="G194" s="3" t="inlineStr">
        <is>
          <t>Simplify</t>
        </is>
      </c>
      <c r="H194" s="2" t="inlineStr">
        <is>
          <t>Rancho Cordova, CA</t>
        </is>
      </c>
      <c r="I194" s="5">
        <f>HYPERLINK("https://jobs.smartrecruiters.com/Solidigm/744000114789900","↗")</f>
        <v/>
      </c>
      <c r="J194" s="3" t="inlineStr">
        <is>
          <t>No</t>
        </is>
      </c>
      <c r="K194" s="3" t="inlineStr"/>
      <c r="L194" s="2" t="inlineStr"/>
      <c r="M194" s="2" t="inlineStr"/>
      <c r="N194" s="2" t="inlineStr"/>
      <c r="O194" s="2" t="inlineStr"/>
    </row>
    <row r="195" ht="16" customHeight="1">
      <c r="A195" s="2" t="inlineStr">
        <is>
          <t>Artificial Intelligence / Machine Learning: Foundation Models Intern</t>
        </is>
      </c>
      <c r="B195" s="2" t="inlineStr">
        <is>
          <t>Robert Bosch Venture Capital</t>
        </is>
      </c>
      <c r="C195" s="3" t="inlineStr">
        <is>
          <t>2026-03-13</t>
        </is>
      </c>
      <c r="D195" s="3" t="n">
        <v>7</v>
      </c>
      <c r="E195" s="3" t="inlineStr">
        <is>
          <t>CA</t>
        </is>
      </c>
      <c r="F195" s="6" t="n">
        <v>14</v>
      </c>
      <c r="G195" s="3" t="inlineStr">
        <is>
          <t>Simplify</t>
        </is>
      </c>
      <c r="H195" s="2" t="inlineStr">
        <is>
          <t>Sunnyvale, CA</t>
        </is>
      </c>
      <c r="I195" s="5">
        <f>HYPERLINK("https://jobs.smartrecruiters.com/BoschGroup/744000114717927","↗")</f>
        <v/>
      </c>
      <c r="J195" s="3" t="inlineStr">
        <is>
          <t>No</t>
        </is>
      </c>
      <c r="K195" s="3" t="inlineStr"/>
      <c r="L195" s="2" t="inlineStr"/>
      <c r="M195" s="2" t="inlineStr"/>
      <c r="N195" s="2" t="inlineStr"/>
      <c r="O195" s="2" t="inlineStr"/>
    </row>
    <row r="196" ht="16" customHeight="1">
      <c r="A196" s="2" t="inlineStr">
        <is>
          <t>Software Engineer Intern - Internal Apps</t>
        </is>
      </c>
      <c r="B196" s="2" t="inlineStr">
        <is>
          <t>Neuralink</t>
        </is>
      </c>
      <c r="C196" s="3" t="inlineStr">
        <is>
          <t>2026-03-13</t>
        </is>
      </c>
      <c r="D196" s="3" t="n">
        <v>7</v>
      </c>
      <c r="E196" s="3" t="inlineStr">
        <is>
          <t>CA</t>
        </is>
      </c>
      <c r="F196" s="4" t="n">
        <v>7</v>
      </c>
      <c r="G196" s="3" t="inlineStr">
        <is>
          <t>Simplify</t>
        </is>
      </c>
      <c r="H196" s="2" t="inlineStr">
        <is>
          <t>Fremont, CA, Austin, TX</t>
        </is>
      </c>
      <c r="I196" s="5">
        <f>HYPERLINK("https://boards.greenhouse.io/neuralink/jobs/6083322003","↗")</f>
        <v/>
      </c>
      <c r="J196" s="3" t="inlineStr">
        <is>
          <t>No</t>
        </is>
      </c>
      <c r="K196" s="3" t="inlineStr"/>
      <c r="L196" s="2" t="inlineStr"/>
      <c r="M196" s="2" t="inlineStr"/>
      <c r="N196" s="2" t="inlineStr"/>
      <c r="O196" s="2" t="inlineStr"/>
    </row>
    <row r="197" ht="16" customHeight="1">
      <c r="A197" s="35" t="inlineStr">
        <is>
          <t>Software Engineer Intern</t>
        </is>
      </c>
      <c r="B197" s="8" t="inlineStr">
        <is>
          <t>Nextech Systems</t>
        </is>
      </c>
      <c r="C197" s="9" t="inlineStr">
        <is>
          <t>2026-03-13</t>
        </is>
      </c>
      <c r="D197" s="9" t="n">
        <v>7</v>
      </c>
      <c r="E197" s="9" t="inlineStr">
        <is>
          <t>Remote</t>
        </is>
      </c>
      <c r="F197" s="11" t="n">
        <v>7</v>
      </c>
      <c r="G197" s="9" t="inlineStr">
        <is>
          <t>Simplify</t>
        </is>
      </c>
      <c r="H197" s="8" t="inlineStr">
        <is>
          <t>Remote in USA</t>
        </is>
      </c>
      <c r="I197" s="10">
        <f>HYPERLINK("https://jobs.lever.co/nextech/89d21768-992e-4ba5-ad26-eeea7aa27029/apply","↗")</f>
        <v/>
      </c>
      <c r="J197" s="36" t="inlineStr">
        <is>
          <t>Yes</t>
        </is>
      </c>
      <c r="K197" s="9" t="inlineStr"/>
      <c r="L197" s="8" t="inlineStr"/>
      <c r="M197" s="8" t="inlineStr"/>
      <c r="N197" s="8" t="inlineStr"/>
      <c r="O197" s="8" t="inlineStr"/>
    </row>
    <row r="198" ht="16" customHeight="1">
      <c r="A198" s="8" t="inlineStr">
        <is>
          <t>Software Engineer Intern</t>
        </is>
      </c>
      <c r="B198" s="8" t="inlineStr">
        <is>
          <t>Nextech Systems</t>
        </is>
      </c>
      <c r="C198" s="9" t="inlineStr">
        <is>
          <t>2026-03-13</t>
        </is>
      </c>
      <c r="D198" s="9" t="n">
        <v>7</v>
      </c>
      <c r="E198" s="9" t="inlineStr">
        <is>
          <t>Remote</t>
        </is>
      </c>
      <c r="F198" s="11" t="n">
        <v>7</v>
      </c>
      <c r="G198" s="9" t="inlineStr">
        <is>
          <t>Simplify</t>
        </is>
      </c>
      <c r="H198" s="8" t="inlineStr">
        <is>
          <t>Remote in USA</t>
        </is>
      </c>
      <c r="I198" s="10">
        <f>HYPERLINK("https://jobs.lever.co/nextech/6a898635-d814-497d-b891-59cc0e3616fa/apply","↗")</f>
        <v/>
      </c>
      <c r="J198" s="9" t="inlineStr">
        <is>
          <t>No</t>
        </is>
      </c>
      <c r="K198" s="9" t="inlineStr"/>
      <c r="L198" s="8" t="inlineStr"/>
      <c r="M198" s="8" t="inlineStr"/>
      <c r="N198" s="8" t="inlineStr"/>
      <c r="O198" s="8" t="inlineStr"/>
    </row>
    <row r="199" ht="16" customHeight="1">
      <c r="A199" s="8" t="inlineStr">
        <is>
          <t>Software Engineer Intern</t>
        </is>
      </c>
      <c r="B199" s="8" t="inlineStr">
        <is>
          <t>Nextech Systems</t>
        </is>
      </c>
      <c r="C199" s="9" t="inlineStr">
        <is>
          <t>2026-03-13</t>
        </is>
      </c>
      <c r="D199" s="9" t="n">
        <v>7</v>
      </c>
      <c r="E199" s="9" t="inlineStr">
        <is>
          <t>Remote</t>
        </is>
      </c>
      <c r="F199" s="11" t="n">
        <v>7</v>
      </c>
      <c r="G199" s="9" t="inlineStr">
        <is>
          <t>Simplify</t>
        </is>
      </c>
      <c r="H199" s="8" t="inlineStr">
        <is>
          <t>Remote in USA</t>
        </is>
      </c>
      <c r="I199" s="10">
        <f>HYPERLINK("https://jobs.lever.co/nextech/e1d4f898-5cae-47c5-9618-020188201371/apply","↗")</f>
        <v/>
      </c>
      <c r="J199" s="9" t="inlineStr">
        <is>
          <t>No</t>
        </is>
      </c>
      <c r="K199" s="9" t="inlineStr"/>
      <c r="L199" s="8" t="inlineStr"/>
      <c r="M199" s="8" t="inlineStr"/>
      <c r="N199" s="8" t="inlineStr"/>
      <c r="O199" s="8" t="inlineStr"/>
    </row>
    <row r="200" ht="16" customHeight="1">
      <c r="A200" s="2" t="inlineStr">
        <is>
          <t>Data Engineer – Process Automation Intern</t>
        </is>
      </c>
      <c r="B200" s="2" t="inlineStr">
        <is>
          <t>Premera Blue Cross</t>
        </is>
      </c>
      <c r="C200" s="3" t="inlineStr">
        <is>
          <t>2026-03-13</t>
        </is>
      </c>
      <c r="D200" s="3" t="n">
        <v>7</v>
      </c>
      <c r="E200" s="3" t="inlineStr">
        <is>
          <t>WA</t>
        </is>
      </c>
      <c r="F200" s="4" t="n">
        <v>4</v>
      </c>
      <c r="G200" s="3" t="inlineStr">
        <is>
          <t>Simplify</t>
        </is>
      </c>
      <c r="H200" s="2" t="inlineStr">
        <is>
          <t>Lynnwood, WA</t>
        </is>
      </c>
      <c r="I200" s="5">
        <f>HYPERLINK("https://premera.wd5.myworkdayjobs.com/premera/job/Mountlake-Terrace-WA/Data-Engineer---Process-Automation-Intern_R28702","↗")</f>
        <v/>
      </c>
      <c r="J200" s="3" t="inlineStr">
        <is>
          <t>No</t>
        </is>
      </c>
      <c r="K200" s="3" t="inlineStr"/>
      <c r="L200" s="2" t="inlineStr"/>
      <c r="M200" s="2" t="inlineStr"/>
      <c r="N200" s="2" t="inlineStr"/>
      <c r="O200" s="2" t="inlineStr"/>
    </row>
    <row r="201" ht="16" customHeight="1">
      <c r="A201" s="2" t="inlineStr">
        <is>
          <t>Software Engineer Intern</t>
        </is>
      </c>
      <c r="B201" s="2" t="inlineStr">
        <is>
          <t>Leidos</t>
        </is>
      </c>
      <c r="C201" s="3" t="inlineStr">
        <is>
          <t>2026-03-13</t>
        </is>
      </c>
      <c r="D201" s="3" t="n">
        <v>7</v>
      </c>
      <c r="E201" s="3" t="inlineStr"/>
      <c r="F201" s="4" t="n">
        <v>7</v>
      </c>
      <c r="G201" s="3" t="inlineStr">
        <is>
          <t>Simplify</t>
        </is>
      </c>
      <c r="H201" s="2" t="inlineStr">
        <is>
          <t>Huntsville, AL</t>
        </is>
      </c>
      <c r="I201" s="5">
        <f>HYPERLINK("https://leidos.wd5.myworkdayjobs.com/External/job/Huntsville-AL/Software-Engineer-Intern_R-00177800","↗")</f>
        <v/>
      </c>
      <c r="J201" s="3" t="inlineStr">
        <is>
          <t>No</t>
        </is>
      </c>
      <c r="K201" s="3" t="inlineStr"/>
      <c r="L201" s="2" t="inlineStr"/>
      <c r="M201" s="2" t="inlineStr"/>
      <c r="N201" s="2" t="inlineStr"/>
      <c r="O201" s="2" t="inlineStr"/>
    </row>
    <row r="202" ht="16" customHeight="1">
      <c r="A202" s="2" t="inlineStr">
        <is>
          <t>Intern - AI Engineering</t>
        </is>
      </c>
      <c r="B202" s="2" t="inlineStr">
        <is>
          <t>ICF International</t>
        </is>
      </c>
      <c r="C202" s="3" t="inlineStr">
        <is>
          <t>2026-03-13</t>
        </is>
      </c>
      <c r="D202" s="3" t="n">
        <v>7</v>
      </c>
      <c r="E202" s="3" t="inlineStr">
        <is>
          <t>VA</t>
        </is>
      </c>
      <c r="F202" s="4" t="n">
        <v>4</v>
      </c>
      <c r="G202" s="3" t="inlineStr">
        <is>
          <t>Simplify</t>
        </is>
      </c>
      <c r="H202" s="2" t="inlineStr">
        <is>
          <t>Reston, VA</t>
        </is>
      </c>
      <c r="I202" s="5">
        <f>HYPERLINK("https://icf.wd5.myworkdayjobs.com/icfexternal_career_site/job/Reston-VA/XMLNAME-2026-Summer-Intern--AI-Engineering_R2600855-1","↗")</f>
        <v/>
      </c>
      <c r="J202" s="3" t="inlineStr">
        <is>
          <t>No</t>
        </is>
      </c>
      <c r="K202" s="3" t="inlineStr"/>
      <c r="L202" s="2" t="inlineStr"/>
      <c r="M202" s="2" t="inlineStr"/>
      <c r="N202" s="2" t="inlineStr"/>
      <c r="O202" s="2" t="inlineStr"/>
    </row>
    <row r="203" ht="16" customHeight="1">
      <c r="A203" s="2" t="inlineStr">
        <is>
          <t>Manufacturing Data Analytics Engineering Intern</t>
        </is>
      </c>
      <c r="B203" s="2" t="inlineStr">
        <is>
          <t>Lumentum</t>
        </is>
      </c>
      <c r="C203" s="3" t="inlineStr">
        <is>
          <t>2026-03-13</t>
        </is>
      </c>
      <c r="D203" s="3" t="n">
        <v>7</v>
      </c>
      <c r="E203" s="3" t="inlineStr">
        <is>
          <t>CA</t>
        </is>
      </c>
      <c r="F203" s="4" t="n">
        <v>5</v>
      </c>
      <c r="G203" s="3" t="inlineStr">
        <is>
          <t>Simplify</t>
        </is>
      </c>
      <c r="H203" s="2" t="inlineStr">
        <is>
          <t>San Jose, CA</t>
        </is>
      </c>
      <c r="I203" s="5">
        <f>HYPERLINK("https://lumentum.wd5.myworkdayjobs.com/LITE/job/USA---CA---San-Jose-Ridder/Manufacturing-Data-Analytics-Engineering-Intern_2026294","↗")</f>
        <v/>
      </c>
      <c r="J203" s="3" t="inlineStr">
        <is>
          <t>No</t>
        </is>
      </c>
      <c r="K203" s="3" t="inlineStr"/>
      <c r="L203" s="2" t="inlineStr"/>
      <c r="M203" s="2" t="inlineStr"/>
      <c r="N203" s="2" t="inlineStr"/>
      <c r="O203" s="2" t="inlineStr"/>
    </row>
    <row r="204" ht="16" customHeight="1">
      <c r="A204" s="2" t="inlineStr">
        <is>
          <t>Software Embedded Engineering Intern</t>
        </is>
      </c>
      <c r="B204" s="2" t="inlineStr">
        <is>
          <t>TripleRing</t>
        </is>
      </c>
      <c r="C204" s="3" t="inlineStr">
        <is>
          <t>2026-03-13</t>
        </is>
      </c>
      <c r="D204" s="3" t="n">
        <v>7</v>
      </c>
      <c r="E204" s="3" t="inlineStr">
        <is>
          <t>CA</t>
        </is>
      </c>
      <c r="F204" s="7" t="n">
        <v>8</v>
      </c>
      <c r="G204" s="3" t="inlineStr">
        <is>
          <t>Simplify</t>
        </is>
      </c>
      <c r="H204" s="2" t="inlineStr">
        <is>
          <t>Newark, CA</t>
        </is>
      </c>
      <c r="I204" s="5">
        <f>HYPERLINK("https://www.tripleringtech.com/careers?gh_jid=4673135005","↗")</f>
        <v/>
      </c>
      <c r="J204" s="3" t="inlineStr">
        <is>
          <t>No</t>
        </is>
      </c>
      <c r="K204" s="3" t="inlineStr"/>
      <c r="L204" s="2" t="inlineStr"/>
      <c r="M204" s="2" t="inlineStr"/>
      <c r="N204" s="2" t="inlineStr"/>
      <c r="O204" s="2" t="inlineStr"/>
    </row>
    <row r="205" ht="16" customHeight="1">
      <c r="A205" s="2" t="inlineStr">
        <is>
          <t>Firmware Engineering Intern - Advanced Development</t>
        </is>
      </c>
      <c r="B205" s="2" t="inlineStr">
        <is>
          <t>SharkNinja</t>
        </is>
      </c>
      <c r="C205" s="3" t="inlineStr">
        <is>
          <t>2026-03-13</t>
        </is>
      </c>
      <c r="D205" s="3" t="n">
        <v>7</v>
      </c>
      <c r="E205" s="3" t="inlineStr">
        <is>
          <t>MA</t>
        </is>
      </c>
      <c r="F205" s="4" t="n">
        <v>5</v>
      </c>
      <c r="G205" s="3" t="inlineStr">
        <is>
          <t>Simplify</t>
        </is>
      </c>
      <c r="H205" s="2" t="inlineStr">
        <is>
          <t>Needham, MA</t>
        </is>
      </c>
      <c r="I205" s="5">
        <f>HYPERLINK("https://job-boards.greenhouse.io/sharkninjaoperatingllc/jobs/4600803006","↗")</f>
        <v/>
      </c>
      <c r="J205" s="3" t="inlineStr">
        <is>
          <t>No</t>
        </is>
      </c>
      <c r="K205" s="3" t="inlineStr"/>
      <c r="L205" s="2" t="inlineStr"/>
      <c r="M205" s="2" t="inlineStr"/>
      <c r="N205" s="2" t="inlineStr"/>
      <c r="O205" s="2" t="inlineStr"/>
    </row>
    <row r="206" ht="16" customHeight="1">
      <c r="A206" s="12" t="inlineStr">
        <is>
          <t>Data Engineer Emerging Talent Intern</t>
        </is>
      </c>
      <c r="B206" s="12" t="inlineStr">
        <is>
          <t>Metropolitan Transportation Authority</t>
        </is>
      </c>
      <c r="C206" s="13" t="inlineStr">
        <is>
          <t>2026-03-13</t>
        </is>
      </c>
      <c r="D206" s="13" t="n">
        <v>7</v>
      </c>
      <c r="E206" s="13" t="inlineStr">
        <is>
          <t>NY</t>
        </is>
      </c>
      <c r="F206" s="14" t="n">
        <v>4</v>
      </c>
      <c r="G206" s="13" t="inlineStr">
        <is>
          <t>Simplify</t>
        </is>
      </c>
      <c r="H206" s="12" t="inlineStr">
        <is>
          <t>NYC</t>
        </is>
      </c>
      <c r="I206" s="15">
        <f>HYPERLINK("https://jobs.jobvite.com/metropolitantransportationauthority/job/oqAPzfw8?nl=1&amp;nl=1&amp;fr=false","↗")</f>
        <v/>
      </c>
      <c r="J206" s="13" t="inlineStr">
        <is>
          <t>No</t>
        </is>
      </c>
      <c r="K206" s="13" t="inlineStr"/>
      <c r="L206" s="12" t="inlineStr"/>
      <c r="M206" s="12" t="inlineStr"/>
      <c r="N206" s="12" t="inlineStr"/>
      <c r="O206" s="12" t="inlineStr"/>
    </row>
    <row r="207" ht="16" customHeight="1">
      <c r="A207" s="2" t="inlineStr">
        <is>
          <t>Controls Engineer Intern</t>
        </is>
      </c>
      <c r="B207" s="2" t="inlineStr">
        <is>
          <t xml:space="preserve">Foundation </t>
        </is>
      </c>
      <c r="C207" s="3" t="inlineStr">
        <is>
          <t>2026-03-13</t>
        </is>
      </c>
      <c r="D207" s="3" t="n">
        <v>7</v>
      </c>
      <c r="E207" s="3" t="inlineStr"/>
      <c r="F207" s="4" t="n">
        <v>7</v>
      </c>
      <c r="G207" s="3" t="inlineStr">
        <is>
          <t>Simplify</t>
        </is>
      </c>
      <c r="H207" s="2" t="inlineStr">
        <is>
          <t>SF</t>
        </is>
      </c>
      <c r="I207" s="5">
        <f>HYPERLINK("https://ats.rippling.com/foundation-robotics/jobs/6a54984f-bb51-4ccf-a96d-6295a45de689","↗")</f>
        <v/>
      </c>
      <c r="J207" s="3" t="inlineStr">
        <is>
          <t>No</t>
        </is>
      </c>
      <c r="K207" s="3" t="inlineStr"/>
      <c r="L207" s="2" t="inlineStr"/>
      <c r="M207" s="2" t="inlineStr"/>
      <c r="N207" s="2" t="inlineStr"/>
      <c r="O207" s="2" t="inlineStr"/>
    </row>
    <row r="208" ht="16" customHeight="1">
      <c r="A208" s="22" t="inlineStr">
        <is>
          <t>Systems Engineering Intern</t>
        </is>
      </c>
      <c r="B208" s="22" t="inlineStr">
        <is>
          <t>Westinghouse Electric Company</t>
        </is>
      </c>
      <c r="C208" s="23" t="inlineStr">
        <is>
          <t>2026-03-13</t>
        </is>
      </c>
      <c r="D208" s="23" t="n">
        <v>7</v>
      </c>
      <c r="E208" s="23" t="inlineStr">
        <is>
          <t>PA</t>
        </is>
      </c>
      <c r="F208" s="24" t="n">
        <v>4</v>
      </c>
      <c r="G208" s="23" t="inlineStr">
        <is>
          <t>Simplify</t>
        </is>
      </c>
      <c r="H208" s="22" t="inlineStr">
        <is>
          <t>Cranberry Twp, PA</t>
        </is>
      </c>
      <c r="I208" s="25">
        <f>HYPERLINK("https://careers.westinghousenuclear.com/job/Warrendale-Systems-Engineering-Intern-Summer-2026-OR/1373323500/?ats=successfactors","↗")</f>
        <v/>
      </c>
      <c r="J208" s="23" t="inlineStr">
        <is>
          <t>No</t>
        </is>
      </c>
      <c r="K208" s="23" t="inlineStr"/>
      <c r="L208" s="22" t="inlineStr"/>
      <c r="M208" s="22" t="inlineStr"/>
      <c r="N208" s="22" t="inlineStr"/>
      <c r="O208" s="22" t="inlineStr"/>
    </row>
    <row r="209" ht="16" customHeight="1">
      <c r="A209" s="2" t="inlineStr">
        <is>
          <t>Product Market Research Intern</t>
        </is>
      </c>
      <c r="B209" s="2" t="inlineStr">
        <is>
          <t>Prolaio</t>
        </is>
      </c>
      <c r="C209" s="3" t="inlineStr">
        <is>
          <t>2026-03-13</t>
        </is>
      </c>
      <c r="D209" s="3" t="n">
        <v>7</v>
      </c>
      <c r="E209" s="3" t="inlineStr">
        <is>
          <t>IL</t>
        </is>
      </c>
      <c r="F209" s="4" t="n">
        <v>4</v>
      </c>
      <c r="G209" s="3" t="inlineStr">
        <is>
          <t>Simplify</t>
        </is>
      </c>
      <c r="H209" s="2" t="inlineStr">
        <is>
          <t>Chicago, IL</t>
        </is>
      </c>
      <c r="I209" s="5">
        <f>HYPERLINK("https://job-boards.greenhouse.io/prolaio/jobs/5153881008","↗")</f>
        <v/>
      </c>
      <c r="J209" s="3" t="inlineStr">
        <is>
          <t>No</t>
        </is>
      </c>
      <c r="K209" s="3" t="inlineStr"/>
      <c r="L209" s="2" t="inlineStr"/>
      <c r="M209" s="2" t="inlineStr"/>
      <c r="N209" s="2" t="inlineStr"/>
      <c r="O209" s="2" t="inlineStr"/>
    </row>
    <row r="210" ht="16" customHeight="1">
      <c r="A210" s="2" t="inlineStr">
        <is>
          <t>Industrial Applications Developer Intern</t>
        </is>
      </c>
      <c r="B210" s="2" t="inlineStr">
        <is>
          <t>Worthington Enterprises</t>
        </is>
      </c>
      <c r="C210" s="3" t="inlineStr">
        <is>
          <t>2026-03-13</t>
        </is>
      </c>
      <c r="D210" s="3" t="n">
        <v>7</v>
      </c>
      <c r="E210" s="3" t="inlineStr">
        <is>
          <t>CO</t>
        </is>
      </c>
      <c r="F210" s="4" t="n">
        <v>4</v>
      </c>
      <c r="G210" s="3" t="inlineStr">
        <is>
          <t>Simplify</t>
        </is>
      </c>
      <c r="H210" s="2" t="inlineStr">
        <is>
          <t>Columbus, OH</t>
        </is>
      </c>
      <c r="I210" s="5">
        <f>HYPERLINK("https://fa-eygo-saasfaprod1.fa.ocs.oraclecloud.com/hcmUI/CandidateExperience/en/sites/CX_2001/job/43017","↗")</f>
        <v/>
      </c>
      <c r="J210" s="3" t="inlineStr">
        <is>
          <t>No</t>
        </is>
      </c>
      <c r="K210" s="3" t="inlineStr"/>
      <c r="L210" s="2" t="inlineStr"/>
      <c r="M210" s="2" t="inlineStr"/>
      <c r="N210" s="2" t="inlineStr"/>
      <c r="O210" s="2" t="inlineStr"/>
    </row>
    <row r="211" ht="16" customHeight="1">
      <c r="A211" s="2" t="inlineStr">
        <is>
          <t>Software Developer Intern</t>
        </is>
      </c>
      <c r="B211" s="2" t="inlineStr">
        <is>
          <t>Nokia</t>
        </is>
      </c>
      <c r="C211" s="3" t="inlineStr">
        <is>
          <t>2026-03-13</t>
        </is>
      </c>
      <c r="D211" s="3" t="n">
        <v>7</v>
      </c>
      <c r="E211" s="3" t="inlineStr">
        <is>
          <t>IL</t>
        </is>
      </c>
      <c r="F211" s="4" t="n">
        <v>5</v>
      </c>
      <c r="G211" s="3" t="inlineStr">
        <is>
          <t>Simplify</t>
        </is>
      </c>
      <c r="H211" s="2" t="inlineStr">
        <is>
          <t>Naperville, IL</t>
        </is>
      </c>
      <c r="I211" s="5">
        <f>HYPERLINK("https://fa-evmr-saasfaprod1.fa.ocs.oraclecloud.com/hcmUI/CandidateExperience/en/sites/CX_1/job/29817","↗")</f>
        <v/>
      </c>
      <c r="J211" s="3" t="inlineStr">
        <is>
          <t>No</t>
        </is>
      </c>
      <c r="K211" s="3" t="inlineStr"/>
      <c r="L211" s="2" t="inlineStr"/>
      <c r="M211" s="2" t="inlineStr"/>
      <c r="N211" s="2" t="inlineStr"/>
      <c r="O211" s="2" t="inlineStr"/>
    </row>
    <row r="212" ht="16" customHeight="1">
      <c r="A212" s="8" t="inlineStr">
        <is>
          <t>Software Engineer Intern</t>
        </is>
      </c>
      <c r="B212" s="8" t="inlineStr">
        <is>
          <t>Forerunner</t>
        </is>
      </c>
      <c r="C212" s="9" t="inlineStr">
        <is>
          <t>2026-03-13</t>
        </is>
      </c>
      <c r="D212" s="9" t="n">
        <v>7</v>
      </c>
      <c r="E212" s="9" t="inlineStr">
        <is>
          <t>Remote</t>
        </is>
      </c>
      <c r="F212" s="11" t="n">
        <v>7</v>
      </c>
      <c r="G212" s="9" t="inlineStr">
        <is>
          <t>Simplify</t>
        </is>
      </c>
      <c r="H212" s="8" t="inlineStr">
        <is>
          <t>SF, Remote in USA, NYC, Portland, ME</t>
        </is>
      </c>
      <c r="I212" s="10">
        <f>HYPERLINK("https://job-boards.greenhouse.io/forerunner/jobs/5077162007","↗")</f>
        <v/>
      </c>
      <c r="J212" s="9" t="inlineStr">
        <is>
          <t>No</t>
        </is>
      </c>
      <c r="K212" s="9" t="inlineStr"/>
      <c r="L212" s="8" t="inlineStr"/>
      <c r="M212" s="8" t="inlineStr"/>
      <c r="N212" s="8" t="inlineStr"/>
      <c r="O212" s="8" t="inlineStr"/>
    </row>
    <row r="213" ht="16" customHeight="1">
      <c r="A213" s="2" t="inlineStr">
        <is>
          <t>Software Developer Intern</t>
        </is>
      </c>
      <c r="B213" s="2" t="inlineStr">
        <is>
          <t>Nokia</t>
        </is>
      </c>
      <c r="C213" s="3" t="inlineStr">
        <is>
          <t>2026-03-13</t>
        </is>
      </c>
      <c r="D213" s="3" t="n">
        <v>7</v>
      </c>
      <c r="E213" s="3" t="inlineStr">
        <is>
          <t>IL</t>
        </is>
      </c>
      <c r="F213" s="4" t="n">
        <v>5</v>
      </c>
      <c r="G213" s="3" t="inlineStr">
        <is>
          <t>Simplify</t>
        </is>
      </c>
      <c r="H213" s="2" t="inlineStr">
        <is>
          <t>Naperville, IL</t>
        </is>
      </c>
      <c r="I213" s="5">
        <f>HYPERLINK("https://fa-evmr-saasfaprod1.fa.ocs.oraclecloud.com/hcmUI/CandidateExperience/en/sites/CX_1/job/29846","↗")</f>
        <v/>
      </c>
      <c r="J213" s="3" t="inlineStr">
        <is>
          <t>No</t>
        </is>
      </c>
      <c r="K213" s="3" t="inlineStr"/>
      <c r="L213" s="2" t="inlineStr"/>
      <c r="M213" s="2" t="inlineStr"/>
      <c r="N213" s="2" t="inlineStr"/>
      <c r="O213" s="2" t="inlineStr"/>
    </row>
    <row r="214" ht="16" customHeight="1">
      <c r="A214" s="2" t="inlineStr">
        <is>
          <t>Software Developer Intern</t>
        </is>
      </c>
      <c r="B214" s="2" t="inlineStr">
        <is>
          <t>Nokia</t>
        </is>
      </c>
      <c r="C214" s="3" t="inlineStr">
        <is>
          <t>2026-03-13</t>
        </is>
      </c>
      <c r="D214" s="3" t="n">
        <v>7</v>
      </c>
      <c r="E214" s="3" t="inlineStr">
        <is>
          <t>IL</t>
        </is>
      </c>
      <c r="F214" s="4" t="n">
        <v>5</v>
      </c>
      <c r="G214" s="3" t="inlineStr">
        <is>
          <t>Simplify</t>
        </is>
      </c>
      <c r="H214" s="2" t="inlineStr">
        <is>
          <t>Naperville, IL</t>
        </is>
      </c>
      <c r="I214" s="5">
        <f>HYPERLINK("https://fa-evmr-saasfaprod1.fa.ocs.oraclecloud.com/hcmUI/CandidateExperience/en/sites/CX_1/job/29808","↗")</f>
        <v/>
      </c>
      <c r="J214" s="3" t="inlineStr">
        <is>
          <t>No</t>
        </is>
      </c>
      <c r="K214" s="3" t="inlineStr"/>
      <c r="L214" s="2" t="inlineStr"/>
      <c r="M214" s="2" t="inlineStr"/>
      <c r="N214" s="2" t="inlineStr"/>
      <c r="O214" s="2" t="inlineStr"/>
    </row>
    <row r="215" ht="16" customHeight="1">
      <c r="A215" s="2" t="inlineStr">
        <is>
          <t>Software Engineering Intern</t>
        </is>
      </c>
      <c r="B215" s="2" t="inlineStr">
        <is>
          <t>Aevex Aerospace</t>
        </is>
      </c>
      <c r="C215" s="3" t="inlineStr">
        <is>
          <t>2026-03-13</t>
        </is>
      </c>
      <c r="D215" s="3" t="n">
        <v>7</v>
      </c>
      <c r="E215" s="3" t="inlineStr">
        <is>
          <t>CA</t>
        </is>
      </c>
      <c r="F215" s="6" t="n">
        <v>15</v>
      </c>
      <c r="G215" s="3" t="inlineStr">
        <is>
          <t>Simplify</t>
        </is>
      </c>
      <c r="H215" s="2" t="inlineStr">
        <is>
          <t>Encinitas, CA</t>
        </is>
      </c>
      <c r="I215" s="5">
        <f>HYPERLINK("https://job-boards.greenhouse.io/aevexaerospace/jobs/5152866008","↗")</f>
        <v/>
      </c>
      <c r="J215" s="3" t="inlineStr">
        <is>
          <t>No</t>
        </is>
      </c>
      <c r="K215" s="3" t="inlineStr"/>
      <c r="L215" s="2" t="inlineStr"/>
      <c r="M215" s="2" t="inlineStr"/>
      <c r="N215" s="2" t="inlineStr"/>
      <c r="O215" s="2" t="inlineStr"/>
    </row>
    <row r="216" ht="16" customHeight="1">
      <c r="A216" s="2" t="inlineStr">
        <is>
          <t>Intern Data Scientist - AI and Business Analytics</t>
        </is>
      </c>
      <c r="B216" s="2" t="inlineStr">
        <is>
          <t xml:space="preserve">Coherent </t>
        </is>
      </c>
      <c r="C216" s="3" t="inlineStr">
        <is>
          <t>2026-03-13</t>
        </is>
      </c>
      <c r="D216" s="3" t="n">
        <v>7</v>
      </c>
      <c r="E216" s="3" t="inlineStr">
        <is>
          <t>CA</t>
        </is>
      </c>
      <c r="F216" s="4" t="n">
        <v>4</v>
      </c>
      <c r="G216" s="3" t="inlineStr">
        <is>
          <t>Simplify</t>
        </is>
      </c>
      <c r="H216" s="2" t="inlineStr">
        <is>
          <t>Santa Clara, CA</t>
        </is>
      </c>
      <c r="I216" s="5">
        <f>HYPERLINK("https://hcwp.fa.us2.oraclecloud.com/hcmUI/CandidateExperience/en/sites/CX_1/job/2011282","↗")</f>
        <v/>
      </c>
      <c r="J216" s="3" t="inlineStr">
        <is>
          <t>No</t>
        </is>
      </c>
      <c r="K216" s="3" t="inlineStr"/>
      <c r="L216" s="2" t="inlineStr"/>
      <c r="M216" s="2" t="inlineStr"/>
      <c r="N216" s="2" t="inlineStr"/>
      <c r="O216" s="2" t="inlineStr"/>
    </row>
    <row r="217" ht="16" customHeight="1">
      <c r="A217" s="8" t="inlineStr">
        <is>
          <t>Full Stack Software Engineer Intern</t>
        </is>
      </c>
      <c r="B217" s="8" t="inlineStr">
        <is>
          <t>EBSCO</t>
        </is>
      </c>
      <c r="C217" s="9" t="inlineStr">
        <is>
          <t>2026-03-13</t>
        </is>
      </c>
      <c r="D217" s="9" t="n">
        <v>7</v>
      </c>
      <c r="E217" s="9" t="inlineStr">
        <is>
          <t>Remote</t>
        </is>
      </c>
      <c r="F217" s="7" t="n">
        <v>9</v>
      </c>
      <c r="G217" s="9" t="inlineStr">
        <is>
          <t>Simplify</t>
        </is>
      </c>
      <c r="H217" s="8" t="inlineStr">
        <is>
          <t>Remote in USA</t>
        </is>
      </c>
      <c r="I217" s="10">
        <f>HYPERLINK("https://careers-ebscoind.icims.com/jobs/1970/job?mobile=true&amp;needsRedirect=false","↗")</f>
        <v/>
      </c>
      <c r="J217" s="9" t="inlineStr">
        <is>
          <t>No</t>
        </is>
      </c>
      <c r="K217" s="9" t="inlineStr"/>
      <c r="L217" s="8" t="inlineStr"/>
      <c r="M217" s="8" t="inlineStr"/>
      <c r="N217" s="8" t="inlineStr"/>
      <c r="O217" s="8" t="inlineStr"/>
    </row>
    <row r="218" ht="16" customHeight="1">
      <c r="A218" s="8" t="inlineStr">
        <is>
          <t>Data Analyst Intern</t>
        </is>
      </c>
      <c r="B218" s="8" t="inlineStr">
        <is>
          <t>MultiCare Health System</t>
        </is>
      </c>
      <c r="C218" s="9" t="inlineStr">
        <is>
          <t>2026-03-13</t>
        </is>
      </c>
      <c r="D218" s="9" t="n">
        <v>7</v>
      </c>
      <c r="E218" s="9" t="inlineStr">
        <is>
          <t>Remote</t>
        </is>
      </c>
      <c r="F218" s="11" t="n">
        <v>4</v>
      </c>
      <c r="G218" s="9" t="inlineStr">
        <is>
          <t>Simplify</t>
        </is>
      </c>
      <c r="H218" s="8" t="inlineStr">
        <is>
          <t>Remote in USA</t>
        </is>
      </c>
      <c r="I218" s="10">
        <f>HYPERLINK("https://multicare.wd1.myworkdayjobs.com/multicare/job/Remote-USA/Data-Analytics-Intern_JR71369","↗")</f>
        <v/>
      </c>
      <c r="J218" s="9" t="inlineStr">
        <is>
          <t>No</t>
        </is>
      </c>
      <c r="K218" s="9" t="inlineStr"/>
      <c r="L218" s="8" t="inlineStr"/>
      <c r="M218" s="8" t="inlineStr"/>
      <c r="N218" s="8" t="inlineStr"/>
      <c r="O218" s="8" t="inlineStr"/>
    </row>
    <row r="219" ht="16" customHeight="1">
      <c r="A219" s="2" t="inlineStr">
        <is>
          <t>Intern – AI for Global Clinical and Medical Affairs</t>
        </is>
      </c>
      <c r="B219" s="2" t="inlineStr">
        <is>
          <t>Smith+Nephew</t>
        </is>
      </c>
      <c r="C219" s="3" t="inlineStr">
        <is>
          <t>2026-03-13</t>
        </is>
      </c>
      <c r="D219" s="3" t="n">
        <v>7</v>
      </c>
      <c r="E219" s="3" t="inlineStr">
        <is>
          <t>MA</t>
        </is>
      </c>
      <c r="F219" s="4" t="n">
        <v>4</v>
      </c>
      <c r="G219" s="3" t="inlineStr">
        <is>
          <t>Simplify</t>
        </is>
      </c>
      <c r="H219" s="2" t="inlineStr">
        <is>
          <t>Andover, MA</t>
        </is>
      </c>
      <c r="I219" s="5">
        <f>HYPERLINK("https://smithnephew.wd5.myworkdayjobs.com/External/job/Andover-MA/Intern--AI-for-Global-Clinical-and-Medical-Affairs_R87647","↗")</f>
        <v/>
      </c>
      <c r="J219" s="3" t="inlineStr">
        <is>
          <t>No</t>
        </is>
      </c>
      <c r="K219" s="3" t="inlineStr"/>
      <c r="L219" s="2" t="inlineStr"/>
      <c r="M219" s="2" t="inlineStr"/>
      <c r="N219" s="2" t="inlineStr"/>
      <c r="O219" s="2" t="inlineStr"/>
    </row>
    <row r="220" ht="16" customHeight="1">
      <c r="A220" s="2" t="inlineStr">
        <is>
          <t>EM University Programs AI and Machine Learning Intern</t>
        </is>
      </c>
      <c r="B220" s="2" t="inlineStr">
        <is>
          <t>Savannah River National Laboratory</t>
        </is>
      </c>
      <c r="C220" s="3" t="inlineStr">
        <is>
          <t>2026-03-13</t>
        </is>
      </c>
      <c r="D220" s="3" t="n">
        <v>7</v>
      </c>
      <c r="E220" s="3" t="inlineStr"/>
      <c r="F220" s="4" t="n">
        <v>6</v>
      </c>
      <c r="G220" s="3" t="inlineStr">
        <is>
          <t>Simplify</t>
        </is>
      </c>
      <c r="H220" s="2" t="inlineStr">
        <is>
          <t>North Augusta, SC</t>
        </is>
      </c>
      <c r="I220" s="5">
        <f>HYPERLINK("https://ewvl.fa.us8.oraclecloud.com/hcmUI/CandidateExperience/en/sites/CX_1/job/1998","↗")</f>
        <v/>
      </c>
      <c r="J220" s="3" t="inlineStr">
        <is>
          <t>No</t>
        </is>
      </c>
      <c r="K220" s="3" t="inlineStr"/>
      <c r="L220" s="2" t="inlineStr"/>
      <c r="M220" s="2" t="inlineStr"/>
      <c r="N220" s="2" t="inlineStr"/>
      <c r="O220" s="2" t="inlineStr"/>
    </row>
    <row r="221" ht="16" customHeight="1">
      <c r="A221" s="2" t="inlineStr">
        <is>
          <t>Software Engineer Intern - Streaming Media</t>
        </is>
      </c>
      <c r="B221" s="2" t="inlineStr">
        <is>
          <t>Roku</t>
        </is>
      </c>
      <c r="C221" s="3" t="inlineStr">
        <is>
          <t>2026-03-13</t>
        </is>
      </c>
      <c r="D221" s="3" t="n">
        <v>7</v>
      </c>
      <c r="E221" s="3" t="inlineStr">
        <is>
          <t>CA</t>
        </is>
      </c>
      <c r="F221" s="4" t="n">
        <v>7</v>
      </c>
      <c r="G221" s="3" t="inlineStr">
        <is>
          <t>Simplify</t>
        </is>
      </c>
      <c r="H221" s="2" t="inlineStr">
        <is>
          <t>San Jose, CA</t>
        </is>
      </c>
      <c r="I221" s="5">
        <f>HYPERLINK("https://www.weareroku.com/jobs/7599381?gh_jid=7599381","↗")</f>
        <v/>
      </c>
      <c r="J221" s="3" t="inlineStr">
        <is>
          <t>No</t>
        </is>
      </c>
      <c r="K221" s="3" t="inlineStr"/>
      <c r="L221" s="2" t="inlineStr"/>
      <c r="M221" s="2" t="inlineStr"/>
      <c r="N221" s="2" t="inlineStr"/>
      <c r="O221" s="2" t="inlineStr"/>
    </row>
    <row r="222" ht="16" customHeight="1">
      <c r="A222" s="2" t="inlineStr">
        <is>
          <t>AI &amp; Innovation Intern</t>
        </is>
      </c>
      <c r="B222" s="2" t="inlineStr">
        <is>
          <t>International Mission Board</t>
        </is>
      </c>
      <c r="C222" s="3" t="inlineStr">
        <is>
          <t>2026-03-13</t>
        </is>
      </c>
      <c r="D222" s="3" t="n">
        <v>7</v>
      </c>
      <c r="E222" s="3" t="inlineStr">
        <is>
          <t>VA</t>
        </is>
      </c>
      <c r="F222" s="4" t="n">
        <v>4</v>
      </c>
      <c r="G222" s="3" t="inlineStr">
        <is>
          <t>Simplify</t>
        </is>
      </c>
      <c r="H222" s="2" t="inlineStr">
        <is>
          <t>Richmond, VA</t>
        </is>
      </c>
      <c r="I222" s="5">
        <f>HYPERLINK("https://golimitless.wd1.myworkdayjobs.com/Staff_External_career_site/job/Richmond-Virginia/AI---Innovation-Intern_R0013763","↗")</f>
        <v/>
      </c>
      <c r="J222" s="3" t="inlineStr">
        <is>
          <t>No</t>
        </is>
      </c>
      <c r="K222" s="3" t="inlineStr"/>
      <c r="L222" s="2" t="inlineStr"/>
      <c r="M222" s="2" t="inlineStr"/>
      <c r="N222" s="2" t="inlineStr"/>
      <c r="O222" s="2" t="inlineStr"/>
    </row>
    <row r="223" ht="16" customHeight="1">
      <c r="A223" s="2" t="inlineStr">
        <is>
          <t>Product Engineering Intern - Agentic AI</t>
        </is>
      </c>
      <c r="B223" s="2" t="inlineStr">
        <is>
          <t>Cadence Design Systems</t>
        </is>
      </c>
      <c r="C223" s="3" t="inlineStr">
        <is>
          <t>2026-03-13</t>
        </is>
      </c>
      <c r="D223" s="3" t="n">
        <v>7</v>
      </c>
      <c r="E223" s="3" t="inlineStr">
        <is>
          <t>CA</t>
        </is>
      </c>
      <c r="F223" s="4" t="n">
        <v>4</v>
      </c>
      <c r="G223" s="3" t="inlineStr">
        <is>
          <t>Simplify</t>
        </is>
      </c>
      <c r="H223" s="2" t="inlineStr">
        <is>
          <t>San Jose, CA</t>
        </is>
      </c>
      <c r="I223" s="5">
        <f>HYPERLINK("https://cadence.wd1.myworkdayjobs.com/University_Talent_Intern/job/SAN-JOSE/Product-Engineering-Intern--Agentic-AI--Summer-2026-_R53279","↗")</f>
        <v/>
      </c>
      <c r="J223" s="3" t="inlineStr">
        <is>
          <t>No</t>
        </is>
      </c>
      <c r="K223" s="3" t="inlineStr"/>
      <c r="L223" s="2" t="inlineStr"/>
      <c r="M223" s="2" t="inlineStr"/>
      <c r="N223" s="2" t="inlineStr"/>
      <c r="O223" s="2" t="inlineStr"/>
    </row>
    <row r="224" ht="16" customHeight="1">
      <c r="A224" s="2" t="inlineStr">
        <is>
          <t>Software Engineering Intern - DRC Team</t>
        </is>
      </c>
      <c r="B224" s="2" t="inlineStr">
        <is>
          <t>StockX</t>
        </is>
      </c>
      <c r="C224" s="3" t="inlineStr">
        <is>
          <t>2026-03-12</t>
        </is>
      </c>
      <c r="D224" s="44" t="n">
        <v>8</v>
      </c>
      <c r="E224" s="3" t="inlineStr">
        <is>
          <t>MI</t>
        </is>
      </c>
      <c r="F224" s="7" t="n">
        <v>11</v>
      </c>
      <c r="G224" s="3" t="inlineStr">
        <is>
          <t>Simplify</t>
        </is>
      </c>
      <c r="H224" s="2" t="inlineStr">
        <is>
          <t>Detroit, MI</t>
        </is>
      </c>
      <c r="I224" s="5">
        <f>HYPERLINK("https://job-boards.greenhouse.io/stockx/jobs/8456940002","↗")</f>
        <v/>
      </c>
      <c r="J224" s="3" t="inlineStr">
        <is>
          <t>No</t>
        </is>
      </c>
      <c r="K224" s="3" t="inlineStr"/>
      <c r="L224" s="2" t="inlineStr"/>
      <c r="M224" s="2" t="inlineStr"/>
      <c r="N224" s="2" t="inlineStr"/>
      <c r="O224" s="2" t="inlineStr"/>
    </row>
    <row r="225" ht="16" customHeight="1">
      <c r="A225" s="2" t="inlineStr">
        <is>
          <t>Android Software Engineer Co-op</t>
        </is>
      </c>
      <c r="B225" s="2" t="inlineStr">
        <is>
          <t>Notability</t>
        </is>
      </c>
      <c r="C225" s="3" t="inlineStr">
        <is>
          <t>2026-03-12</t>
        </is>
      </c>
      <c r="D225" s="44" t="n">
        <v>8</v>
      </c>
      <c r="E225" s="3" t="inlineStr"/>
      <c r="F225" s="4" t="n">
        <v>7</v>
      </c>
      <c r="G225" s="3" t="inlineStr">
        <is>
          <t>Simplify</t>
        </is>
      </c>
      <c r="H225" s="2" t="inlineStr">
        <is>
          <t>SF</t>
        </is>
      </c>
      <c r="I225" s="5">
        <f>HYPERLINK("https://job-boards.greenhouse.io/gingerlabsinc/jobs/5129674008","↗")</f>
        <v/>
      </c>
      <c r="J225" s="3" t="inlineStr">
        <is>
          <t>No</t>
        </is>
      </c>
      <c r="K225" s="3" t="inlineStr"/>
      <c r="L225" s="2" t="inlineStr"/>
      <c r="M225" s="2" t="inlineStr"/>
      <c r="N225" s="2" t="inlineStr"/>
      <c r="O225" s="2" t="inlineStr"/>
    </row>
    <row r="226" ht="16" customHeight="1">
      <c r="A226" s="2" t="inlineStr">
        <is>
          <t>National Security Solutions Computer Science Intern - NSS</t>
        </is>
      </c>
      <c r="B226" s="2" t="inlineStr">
        <is>
          <t>KBR</t>
        </is>
      </c>
      <c r="C226" s="3" t="inlineStr">
        <is>
          <t>2026-03-12</t>
        </is>
      </c>
      <c r="D226" s="44" t="n">
        <v>8</v>
      </c>
      <c r="E226" s="3" t="inlineStr">
        <is>
          <t>OH</t>
        </is>
      </c>
      <c r="F226" s="4" t="n">
        <v>6</v>
      </c>
      <c r="G226" s="3" t="inlineStr">
        <is>
          <t>Simplify</t>
        </is>
      </c>
      <c r="H226" s="2" t="inlineStr">
        <is>
          <t>Beavercreek, OH</t>
        </is>
      </c>
      <c r="I226" s="5">
        <f>HYPERLINK("https://kbr.wd5.myworkdayjobs.com/KBR_Careers/job/Beavercreek-Township-Ohio/National-Security-Solutions--NSS----Computer-Science-Intern_R2120307","↗")</f>
        <v/>
      </c>
      <c r="J226" s="3" t="inlineStr">
        <is>
          <t>No</t>
        </is>
      </c>
      <c r="K226" s="3" t="inlineStr"/>
      <c r="L226" s="2" t="inlineStr"/>
      <c r="M226" s="2" t="inlineStr"/>
      <c r="N226" s="2" t="inlineStr"/>
      <c r="O226" s="2" t="inlineStr"/>
    </row>
    <row r="227" ht="16" customHeight="1">
      <c r="A227" s="12" t="inlineStr">
        <is>
          <t>Forward Deployed Software Engineer Intern</t>
        </is>
      </c>
      <c r="B227" s="12" t="inlineStr">
        <is>
          <t>Palantir</t>
        </is>
      </c>
      <c r="C227" s="13" t="inlineStr">
        <is>
          <t>2026-03-12</t>
        </is>
      </c>
      <c r="D227" s="45" t="n">
        <v>8</v>
      </c>
      <c r="E227" s="13" t="inlineStr">
        <is>
          <t>NY</t>
        </is>
      </c>
      <c r="F227" s="14" t="n">
        <v>7</v>
      </c>
      <c r="G227" s="13" t="inlineStr">
        <is>
          <t>Simplify</t>
        </is>
      </c>
      <c r="H227" s="12" t="inlineStr">
        <is>
          <t>NYC</t>
        </is>
      </c>
      <c r="I227" s="15">
        <f>HYPERLINK("https://jobs.lever.co/palantir/030ece08-c341-4959-bdfe-314e89b691ce/apply","↗")</f>
        <v/>
      </c>
      <c r="J227" s="13" t="inlineStr">
        <is>
          <t>No</t>
        </is>
      </c>
      <c r="K227" s="13" t="inlineStr"/>
      <c r="L227" s="12" t="inlineStr"/>
      <c r="M227" s="12" t="inlineStr"/>
      <c r="N227" s="12" t="inlineStr"/>
      <c r="O227" s="12" t="inlineStr"/>
    </row>
    <row r="228" ht="16" customHeight="1">
      <c r="A228" s="2" t="inlineStr">
        <is>
          <t>Software Developer Intern</t>
        </is>
      </c>
      <c r="B228" s="2" t="inlineStr">
        <is>
          <t>Leidos</t>
        </is>
      </c>
      <c r="C228" s="3" t="inlineStr">
        <is>
          <t>2026-03-12</t>
        </is>
      </c>
      <c r="D228" s="44" t="n">
        <v>8</v>
      </c>
      <c r="E228" s="3" t="inlineStr"/>
      <c r="F228" s="4" t="n">
        <v>5</v>
      </c>
      <c r="G228" s="3" t="inlineStr">
        <is>
          <t>Simplify</t>
        </is>
      </c>
      <c r="H228" s="2" t="inlineStr">
        <is>
          <t>Lawton, OK</t>
        </is>
      </c>
      <c r="I228" s="5">
        <f>HYPERLINK("https://leidos.wd5.myworkdayjobs.com/External/job/Lawton-OK/Software-Developer-Intern_R-00177923","↗")</f>
        <v/>
      </c>
      <c r="J228" s="3" t="inlineStr">
        <is>
          <t>No</t>
        </is>
      </c>
      <c r="K228" s="3" t="inlineStr"/>
      <c r="L228" s="2" t="inlineStr"/>
      <c r="M228" s="2" t="inlineStr"/>
      <c r="N228" s="2" t="inlineStr"/>
      <c r="O228" s="2" t="inlineStr"/>
    </row>
    <row r="229" ht="16" customHeight="1">
      <c r="A229" s="2" t="inlineStr">
        <is>
          <t>Defense Science and Technology Intern Graduate Student</t>
        </is>
      </c>
      <c r="B229" s="2" t="inlineStr">
        <is>
          <t>Lawrence Livermore National Laboratory (LLNL)</t>
        </is>
      </c>
      <c r="C229" s="3" t="inlineStr">
        <is>
          <t>2026-03-12</t>
        </is>
      </c>
      <c r="D229" s="44" t="n">
        <v>8</v>
      </c>
      <c r="E229" s="3" t="inlineStr">
        <is>
          <t>CA</t>
        </is>
      </c>
      <c r="F229" s="4" t="n">
        <v>5</v>
      </c>
      <c r="G229" s="3" t="inlineStr">
        <is>
          <t>Simplify</t>
        </is>
      </c>
      <c r="H229" s="2" t="inlineStr">
        <is>
          <t>Livermore, CA</t>
        </is>
      </c>
      <c r="I229" s="5">
        <f>HYPERLINK("https://jobs.smartrecruiters.com/LLNL/3743990012117076","↗")</f>
        <v/>
      </c>
      <c r="J229" s="3" t="inlineStr">
        <is>
          <t>No</t>
        </is>
      </c>
      <c r="K229" s="3" t="inlineStr"/>
      <c r="L229" s="2" t="inlineStr"/>
      <c r="M229" s="2" t="inlineStr"/>
      <c r="N229" s="2" t="inlineStr"/>
      <c r="O229" s="2" t="inlineStr"/>
    </row>
    <row r="230" ht="16" customHeight="1">
      <c r="A230" s="2" t="inlineStr">
        <is>
          <t>Machine Learning and Unconventional Computing Paradigms ASPIRE Intern</t>
        </is>
      </c>
      <c r="B230" s="2" t="inlineStr">
        <is>
          <t>Savannah River National Laboratory</t>
        </is>
      </c>
      <c r="C230" s="3" t="inlineStr">
        <is>
          <t>2026-03-12</t>
        </is>
      </c>
      <c r="D230" s="44" t="n">
        <v>8</v>
      </c>
      <c r="E230" s="3" t="inlineStr"/>
      <c r="F230" s="4" t="n">
        <v>4</v>
      </c>
      <c r="G230" s="3" t="inlineStr">
        <is>
          <t>Simplify</t>
        </is>
      </c>
      <c r="H230" s="2" t="inlineStr">
        <is>
          <t>North Augusta, SC</t>
        </is>
      </c>
      <c r="I230" s="5">
        <f>HYPERLINK("https://ewvl.fa.us8.oraclecloud.com/hcmUI/CandidateExperience/en/sites/CX_1/job/1996","↗")</f>
        <v/>
      </c>
      <c r="J230" s="3" t="inlineStr">
        <is>
          <t>No</t>
        </is>
      </c>
      <c r="K230" s="3" t="inlineStr"/>
      <c r="L230" s="2" t="inlineStr"/>
      <c r="M230" s="2" t="inlineStr"/>
      <c r="N230" s="2" t="inlineStr"/>
      <c r="O230" s="2" t="inlineStr"/>
    </row>
    <row r="231" ht="16" customHeight="1">
      <c r="A231" s="2" t="inlineStr">
        <is>
          <t>Intern – R&amp;D Intern - Software Engineering</t>
        </is>
      </c>
      <c r="B231" s="2" t="inlineStr">
        <is>
          <t>Becton Dickinson</t>
        </is>
      </c>
      <c r="C231" s="3" t="inlineStr">
        <is>
          <t>2026-03-12</t>
        </is>
      </c>
      <c r="D231" s="44" t="n">
        <v>8</v>
      </c>
      <c r="E231" s="3" t="inlineStr">
        <is>
          <t>CA</t>
        </is>
      </c>
      <c r="F231" s="6" t="n">
        <v>13</v>
      </c>
      <c r="G231" s="3" t="inlineStr">
        <is>
          <t>Simplify</t>
        </is>
      </c>
      <c r="H231" s="2" t="inlineStr">
        <is>
          <t>San Diego, CA</t>
        </is>
      </c>
      <c r="I231" s="5">
        <f>HYPERLINK("https://bdx.wd1.myworkdayjobs.com/EXTERNAL_CAREER_SITE_USA/job/USA-CA---San-Diego-TC-Bldg-CD/Summer-Intern---R-D-Intern--Software-Engineering_R-540385","↗")</f>
        <v/>
      </c>
      <c r="J231" s="3" t="inlineStr">
        <is>
          <t>No</t>
        </is>
      </c>
      <c r="K231" s="3" t="inlineStr"/>
      <c r="L231" s="2" t="inlineStr"/>
      <c r="M231" s="2" t="inlineStr"/>
      <c r="N231" s="2" t="inlineStr"/>
      <c r="O231" s="2" t="inlineStr"/>
    </row>
    <row r="232" ht="16" customHeight="1">
      <c r="A232" s="2" t="inlineStr">
        <is>
          <t>Intern Software Application Development</t>
        </is>
      </c>
      <c r="B232" s="2" t="inlineStr">
        <is>
          <t xml:space="preserve">Coherent </t>
        </is>
      </c>
      <c r="C232" s="3" t="inlineStr">
        <is>
          <t>2026-03-12</t>
        </is>
      </c>
      <c r="D232" s="44" t="n">
        <v>8</v>
      </c>
      <c r="E232" s="3" t="inlineStr">
        <is>
          <t>CA</t>
        </is>
      </c>
      <c r="F232" s="4" t="n">
        <v>5</v>
      </c>
      <c r="G232" s="3" t="inlineStr">
        <is>
          <t>Simplify</t>
        </is>
      </c>
      <c r="H232" s="2" t="inlineStr">
        <is>
          <t>Fremont, CA</t>
        </is>
      </c>
      <c r="I232" s="5">
        <f>HYPERLINK("https://hcwp.fa.us2.oraclecloud.com/hcmUI/CandidateExperience/en/sites/CX_1/job/2011259","↗")</f>
        <v/>
      </c>
      <c r="J232" s="3" t="inlineStr">
        <is>
          <t>No</t>
        </is>
      </c>
      <c r="K232" s="3" t="inlineStr"/>
      <c r="L232" s="2" t="inlineStr"/>
      <c r="M232" s="2" t="inlineStr"/>
      <c r="N232" s="2" t="inlineStr"/>
      <c r="O232" s="2" t="inlineStr"/>
    </row>
    <row r="233" ht="16" customHeight="1">
      <c r="A233" s="2" t="inlineStr">
        <is>
          <t>Intern – Software Engineering</t>
        </is>
      </c>
      <c r="B233" s="2" t="inlineStr">
        <is>
          <t>Carbon Robotics</t>
        </is>
      </c>
      <c r="C233" s="3" t="inlineStr">
        <is>
          <t>2026-03-12</t>
        </is>
      </c>
      <c r="D233" s="44" t="n">
        <v>8</v>
      </c>
      <c r="E233" s="3" t="inlineStr">
        <is>
          <t>WA</t>
        </is>
      </c>
      <c r="F233" s="6" t="n">
        <v>17</v>
      </c>
      <c r="G233" s="3" t="inlineStr">
        <is>
          <t>Simplify</t>
        </is>
      </c>
      <c r="H233" s="2" t="inlineStr">
        <is>
          <t>Seattle, WA</t>
        </is>
      </c>
      <c r="I233" s="5">
        <f>HYPERLINK("https://carbonrobotics.com/job-openings?gh_jid=4625664006","↗")</f>
        <v/>
      </c>
      <c r="J233" s="3" t="inlineStr">
        <is>
          <t>No</t>
        </is>
      </c>
      <c r="K233" s="3" t="inlineStr"/>
      <c r="L233" s="2" t="inlineStr"/>
      <c r="M233" s="2" t="inlineStr"/>
      <c r="N233" s="2" t="inlineStr"/>
      <c r="O233" s="2" t="inlineStr"/>
    </row>
    <row r="234" ht="16" customHeight="1">
      <c r="A234" s="2" t="inlineStr">
        <is>
          <t>Intern Software Engineer - AI</t>
        </is>
      </c>
      <c r="B234" s="2" t="inlineStr">
        <is>
          <t>Planet</t>
        </is>
      </c>
      <c r="C234" s="3" t="inlineStr">
        <is>
          <t>2026-03-12</t>
        </is>
      </c>
      <c r="D234" s="44" t="n">
        <v>8</v>
      </c>
      <c r="E234" s="3" t="inlineStr"/>
      <c r="F234" s="7" t="n">
        <v>9</v>
      </c>
      <c r="G234" s="3" t="inlineStr">
        <is>
          <t>Simplify</t>
        </is>
      </c>
      <c r="H234" s="2" t="inlineStr">
        <is>
          <t>SF</t>
        </is>
      </c>
      <c r="I234" s="5">
        <f>HYPERLINK("https://job-boards.greenhouse.io/planetlabs/jobs/7660168","↗")</f>
        <v/>
      </c>
      <c r="J234" s="3" t="inlineStr">
        <is>
          <t>No</t>
        </is>
      </c>
      <c r="K234" s="3" t="inlineStr"/>
      <c r="L234" s="2" t="inlineStr"/>
      <c r="M234" s="2" t="inlineStr"/>
      <c r="N234" s="2" t="inlineStr"/>
      <c r="O234" s="2" t="inlineStr"/>
    </row>
    <row r="235" ht="16" customHeight="1">
      <c r="A235" s="12" t="inlineStr">
        <is>
          <t>AI Intern</t>
        </is>
      </c>
      <c r="B235" s="12" t="inlineStr">
        <is>
          <t>Fanatics</t>
        </is>
      </c>
      <c r="C235" s="13" t="inlineStr">
        <is>
          <t>2026-03-12</t>
        </is>
      </c>
      <c r="D235" s="45" t="n">
        <v>8</v>
      </c>
      <c r="E235" s="13" t="inlineStr">
        <is>
          <t>NY</t>
        </is>
      </c>
      <c r="F235" s="14" t="n">
        <v>4</v>
      </c>
      <c r="G235" s="13" t="inlineStr">
        <is>
          <t>Simplify</t>
        </is>
      </c>
      <c r="H235" s="12" t="inlineStr">
        <is>
          <t>NYC</t>
        </is>
      </c>
      <c r="I235" s="15">
        <f>HYPERLINK("https://fa-exki-saasfaprod1.fa.ocs.oraclecloud.com/hcmUI/CandidateExperience/en/sites/CX_1/job/27180","↗")</f>
        <v/>
      </c>
      <c r="J235" s="13" t="inlineStr">
        <is>
          <t>No</t>
        </is>
      </c>
      <c r="K235" s="13" t="inlineStr"/>
      <c r="L235" s="12" t="inlineStr"/>
      <c r="M235" s="12" t="inlineStr"/>
      <c r="N235" s="12" t="inlineStr"/>
      <c r="O235" s="12" t="inlineStr"/>
    </row>
    <row r="236" ht="16" customHeight="1">
      <c r="A236" s="2" t="inlineStr">
        <is>
          <t>Software Engineer Intern</t>
        </is>
      </c>
      <c r="B236" s="2" t="inlineStr">
        <is>
          <t>General Dynamics Mission Systems</t>
        </is>
      </c>
      <c r="C236" s="3" t="inlineStr">
        <is>
          <t>2026-03-12</t>
        </is>
      </c>
      <c r="D236" s="44" t="n">
        <v>8</v>
      </c>
      <c r="E236" s="3" t="inlineStr"/>
      <c r="F236" s="6" t="n">
        <v>12</v>
      </c>
      <c r="G236" s="3" t="inlineStr">
        <is>
          <t>Simplify</t>
        </is>
      </c>
      <c r="H236" s="2" t="inlineStr">
        <is>
          <t>United States</t>
        </is>
      </c>
      <c r="I236" s="5">
        <f>HYPERLINK("https://careers-gdms.icims.com/jobs/71480/job?mobile=true&amp;needsRedirect=false","↗")</f>
        <v/>
      </c>
      <c r="J236" s="3" t="inlineStr">
        <is>
          <t>No</t>
        </is>
      </c>
      <c r="K236" s="3" t="inlineStr"/>
      <c r="L236" s="2" t="inlineStr"/>
      <c r="M236" s="2" t="inlineStr"/>
      <c r="N236" s="2" t="inlineStr"/>
      <c r="O236" s="2" t="inlineStr"/>
    </row>
    <row r="237" ht="16" customHeight="1">
      <c r="A237" s="2" t="inlineStr">
        <is>
          <t>Intern Software</t>
        </is>
      </c>
      <c r="B237" s="2" t="inlineStr">
        <is>
          <t>Strand Therapeutics</t>
        </is>
      </c>
      <c r="C237" s="3" t="inlineStr">
        <is>
          <t>2026-03-12</t>
        </is>
      </c>
      <c r="D237" s="44" t="n">
        <v>8</v>
      </c>
      <c r="E237" s="3" t="inlineStr">
        <is>
          <t>MA</t>
        </is>
      </c>
      <c r="F237" s="4" t="n">
        <v>5</v>
      </c>
      <c r="G237" s="3" t="inlineStr">
        <is>
          <t>Simplify</t>
        </is>
      </c>
      <c r="H237" s="2" t="inlineStr">
        <is>
          <t>Boston, MA</t>
        </is>
      </c>
      <c r="I237" s="5">
        <f>HYPERLINK("https://job-boards.greenhouse.io/strandtherapeutics/jobs/5824281004","↗")</f>
        <v/>
      </c>
      <c r="J237" s="3" t="inlineStr">
        <is>
          <t>No</t>
        </is>
      </c>
      <c r="K237" s="3" t="inlineStr"/>
      <c r="L237" s="2" t="inlineStr"/>
      <c r="M237" s="2" t="inlineStr"/>
      <c r="N237" s="2" t="inlineStr"/>
      <c r="O237" s="2" t="inlineStr"/>
    </row>
    <row r="238" ht="16" customHeight="1">
      <c r="A238" s="19" t="inlineStr">
        <is>
          <t>Year-Round Intern - Software Engineering Risk Analytics</t>
        </is>
      </c>
      <c r="B238" s="19" t="inlineStr">
        <is>
          <t>OCC</t>
        </is>
      </c>
      <c r="C238" s="20" t="inlineStr">
        <is>
          <t>2026-03-12</t>
        </is>
      </c>
      <c r="D238" s="46" t="n">
        <v>8</v>
      </c>
      <c r="E238" s="20" t="inlineStr">
        <is>
          <t>TX</t>
        </is>
      </c>
      <c r="F238" s="6" t="n">
        <v>13</v>
      </c>
      <c r="G238" s="20" t="inlineStr">
        <is>
          <t>AlmondCroffle</t>
        </is>
      </c>
      <c r="H238" s="19" t="inlineStr">
        <is>
          <t>Dallas, TX</t>
        </is>
      </c>
      <c r="I238" s="21">
        <f>HYPERLINK("https://theocc.wd5.myworkdayjobs.com/en-US/careers/job/Dallas-TX/Year-Round-Intern---Software-Engineering-Risk-Analytics_REQ-4592","↗")</f>
        <v/>
      </c>
      <c r="J238" s="20" t="inlineStr">
        <is>
          <t>No</t>
        </is>
      </c>
      <c r="K238" s="20" t="inlineStr"/>
      <c r="L238" s="19" t="inlineStr"/>
      <c r="M238" s="19" t="inlineStr"/>
      <c r="N238" s="19" t="inlineStr"/>
      <c r="O238" s="19" t="inlineStr"/>
    </row>
    <row r="239" ht="16" customHeight="1">
      <c r="A239" s="16" t="inlineStr">
        <is>
          <t>Software Engineering Intern (Cyber focus)</t>
        </is>
      </c>
      <c r="B239" s="16" t="inlineStr">
        <is>
          <t>Smiths Detection</t>
        </is>
      </c>
      <c r="C239" s="17" t="inlineStr">
        <is>
          <t>2026-03-12</t>
        </is>
      </c>
      <c r="D239" s="47" t="n">
        <v>8</v>
      </c>
      <c r="E239" s="17" t="inlineStr">
        <is>
          <t>MD</t>
        </is>
      </c>
      <c r="F239" s="7" t="n">
        <v>11</v>
      </c>
      <c r="G239" s="17" t="inlineStr">
        <is>
          <t>AlmondCroffle</t>
        </is>
      </c>
      <c r="H239" s="16" t="inlineStr">
        <is>
          <t>Edgewood, MD</t>
        </is>
      </c>
      <c r="I239" s="18">
        <f>HYPERLINK("https://jobs.smartrecruiters.com/SmithsGroup2/a22945f0-59b6-4c3f-87f1-43c05b535677","↗")</f>
        <v/>
      </c>
      <c r="J239" s="17" t="inlineStr">
        <is>
          <t>No</t>
        </is>
      </c>
      <c r="K239" s="17" t="inlineStr"/>
      <c r="L239" s="16" t="inlineStr"/>
      <c r="M239" s="16" t="inlineStr"/>
      <c r="N239" s="16" t="inlineStr"/>
      <c r="O239" s="16" t="inlineStr"/>
    </row>
    <row r="240" ht="16" customHeight="1">
      <c r="A240" s="19" t="inlineStr">
        <is>
          <t>Software Engineering Intern - Virtual Primary Care</t>
        </is>
      </c>
      <c r="B240" s="19" t="inlineStr">
        <is>
          <t>Transcarent</t>
        </is>
      </c>
      <c r="C240" s="20" t="inlineStr">
        <is>
          <t>2026-03-12</t>
        </is>
      </c>
      <c r="D240" s="46" t="n">
        <v>8</v>
      </c>
      <c r="E240" s="20" t="inlineStr"/>
      <c r="F240" s="7" t="n">
        <v>11</v>
      </c>
      <c r="G240" s="20" t="inlineStr">
        <is>
          <t>AlmondCroffle</t>
        </is>
      </c>
      <c r="H240" s="19" t="inlineStr">
        <is>
          <t>Seattle, W</t>
        </is>
      </c>
      <c r="I240" s="21">
        <f>HYPERLINK("https://job-boards.greenhouse.io/transcarent/jobs/5822302004?gh_jid=5822302004","↗")</f>
        <v/>
      </c>
      <c r="J240" s="20" t="inlineStr">
        <is>
          <t>No</t>
        </is>
      </c>
      <c r="K240" s="20" t="inlineStr"/>
      <c r="L240" s="19" t="inlineStr"/>
      <c r="M240" s="19" t="inlineStr"/>
      <c r="N240" s="19" t="inlineStr"/>
      <c r="O240" s="19" t="inlineStr"/>
    </row>
    <row r="241" ht="16" customHeight="1">
      <c r="A241" s="16" t="inlineStr">
        <is>
          <t>Software Engineering, Agentic AI &amp; Test Automation Internship</t>
        </is>
      </c>
      <c r="B241" s="16" t="inlineStr">
        <is>
          <t>T-Mobile</t>
        </is>
      </c>
      <c r="C241" s="17" t="inlineStr">
        <is>
          <t>2026-03-12</t>
        </is>
      </c>
      <c r="D241" s="47" t="n">
        <v>8</v>
      </c>
      <c r="E241" s="17" t="inlineStr">
        <is>
          <t>WA</t>
        </is>
      </c>
      <c r="F241" s="6" t="n">
        <v>13</v>
      </c>
      <c r="G241" s="17" t="inlineStr">
        <is>
          <t>AlmondCroffle</t>
        </is>
      </c>
      <c r="H241" s="16" t="inlineStr">
        <is>
          <t>Bellevue, WA</t>
        </is>
      </c>
      <c r="I241" s="18">
        <f>HYPERLINK("https://tmobile.wd1.myworkdayjobs.com/en-US/external/job/Bellevue-Washington/Summer-2026-Software-Engineering---Agentic-AI---Test-Automation-Internship_REQ347437","↗")</f>
        <v/>
      </c>
      <c r="J241" s="17" t="inlineStr">
        <is>
          <t>No</t>
        </is>
      </c>
      <c r="K241" s="17" t="inlineStr"/>
      <c r="L241" s="16" t="inlineStr"/>
      <c r="M241" s="16" t="inlineStr"/>
      <c r="N241" s="16" t="inlineStr"/>
      <c r="O241" s="16" t="inlineStr"/>
    </row>
    <row r="242" ht="16" customHeight="1">
      <c r="A242" s="12" t="inlineStr">
        <is>
          <t>Software Engineer Intern</t>
        </is>
      </c>
      <c r="B242" s="12" t="inlineStr">
        <is>
          <t>Specialisterne</t>
        </is>
      </c>
      <c r="C242" s="13" t="inlineStr">
        <is>
          <t>2026-03-12</t>
        </is>
      </c>
      <c r="D242" s="45" t="n">
        <v>8</v>
      </c>
      <c r="E242" s="13" t="inlineStr">
        <is>
          <t>NY</t>
        </is>
      </c>
      <c r="F242" s="14" t="n">
        <v>7</v>
      </c>
      <c r="G242" s="13" t="inlineStr">
        <is>
          <t>AlmondCroffle</t>
        </is>
      </c>
      <c r="H242" s="12" t="inlineStr">
        <is>
          <t>New York, NY</t>
        </is>
      </c>
      <c r="I242" s="15">
        <f>HYPERLINK("https://specialisterne.applytojob.com/apply/Vt3hev3H0E/Software-Engineer-Intern","↗")</f>
        <v/>
      </c>
      <c r="J242" s="13" t="inlineStr">
        <is>
          <t>No</t>
        </is>
      </c>
      <c r="K242" s="13" t="inlineStr"/>
      <c r="L242" s="12" t="inlineStr"/>
      <c r="M242" s="12" t="inlineStr"/>
      <c r="N242" s="12" t="inlineStr"/>
      <c r="O242" s="12" t="inlineStr"/>
    </row>
    <row r="243" ht="16" customHeight="1">
      <c r="A243" s="16" t="inlineStr">
        <is>
          <t>Software Engineer Intern</t>
        </is>
      </c>
      <c r="B243" s="16" t="inlineStr">
        <is>
          <t>FanThreeSixty</t>
        </is>
      </c>
      <c r="C243" s="17" t="inlineStr">
        <is>
          <t>2026-03-12</t>
        </is>
      </c>
      <c r="D243" s="47" t="n">
        <v>8</v>
      </c>
      <c r="E243" s="17" t="inlineStr"/>
      <c r="F243" s="40" t="n">
        <v>7</v>
      </c>
      <c r="G243" s="17" t="inlineStr">
        <is>
          <t>AlmondCroffle</t>
        </is>
      </c>
      <c r="H243" s="16" t="inlineStr">
        <is>
          <t>Leawood, KS</t>
        </is>
      </c>
      <c r="I243" s="18">
        <f>HYPERLINK("https://osv-tifec.wd5.myworkdayjobs.com/en-US/fanthreesixty/job/FanThreeSixty-Leawood-KS-66211/Software-Engineer-Intern_REQ-5122","↗")</f>
        <v/>
      </c>
      <c r="J243" s="17" t="inlineStr">
        <is>
          <t>No</t>
        </is>
      </c>
      <c r="K243" s="17" t="inlineStr"/>
      <c r="L243" s="16" t="inlineStr"/>
      <c r="M243" s="16" t="inlineStr"/>
      <c r="N243" s="16" t="inlineStr"/>
      <c r="O243" s="16" t="inlineStr"/>
    </row>
    <row r="244" ht="16" customHeight="1">
      <c r="A244" s="8" t="inlineStr">
        <is>
          <t>IT Infrastructure &amp; Cloud Operations Intern</t>
        </is>
      </c>
      <c r="B244" s="8" t="inlineStr">
        <is>
          <t>Ensono</t>
        </is>
      </c>
      <c r="C244" s="9" t="inlineStr">
        <is>
          <t>2026-03-12</t>
        </is>
      </c>
      <c r="D244" s="48" t="n">
        <v>8</v>
      </c>
      <c r="E244" s="9" t="inlineStr">
        <is>
          <t>Remote</t>
        </is>
      </c>
      <c r="F244" s="11" t="n">
        <v>4</v>
      </c>
      <c r="G244" s="9" t="inlineStr">
        <is>
          <t>AlmondCroffle</t>
        </is>
      </c>
      <c r="H244" s="8" t="inlineStr">
        <is>
          <t>Remote in US</t>
        </is>
      </c>
      <c r="I244" s="10">
        <f>HYPERLINK("https://www.ensono.com/careers/it-infrastructure-cloud-operations-intern/","↗")</f>
        <v/>
      </c>
      <c r="J244" s="9" t="inlineStr">
        <is>
          <t>No</t>
        </is>
      </c>
      <c r="K244" s="9" t="inlineStr"/>
      <c r="L244" s="8" t="inlineStr"/>
      <c r="M244" s="8" t="inlineStr"/>
      <c r="N244" s="8" t="inlineStr"/>
      <c r="O244" s="8" t="inlineStr"/>
    </row>
    <row r="245" ht="16" customHeight="1">
      <c r="A245" s="12" t="inlineStr">
        <is>
          <t>Methane Infrastructure Data Intern</t>
        </is>
      </c>
      <c r="B245" s="12" t="inlineStr">
        <is>
          <t>Environmental Defense Fund</t>
        </is>
      </c>
      <c r="C245" s="13" t="inlineStr">
        <is>
          <t>2026-03-12</t>
        </is>
      </c>
      <c r="D245" s="45" t="n">
        <v>8</v>
      </c>
      <c r="E245" s="13" t="inlineStr">
        <is>
          <t>NY</t>
        </is>
      </c>
      <c r="F245" s="14" t="n">
        <v>7</v>
      </c>
      <c r="G245" s="13" t="inlineStr">
        <is>
          <t>Simplify</t>
        </is>
      </c>
      <c r="H245" s="12" t="inlineStr">
        <is>
          <t>Boston, MA, Washington, DC, SF, Austin, TX, Raleigh, NC, NYC, Boulder, CO</t>
        </is>
      </c>
      <c r="I245" s="15">
        <f>HYPERLINK("https://osv-edf.wd5.myworkdayjobs.com/Confidential/job/Raleigh/XMLNAME---Methane-Infrastructure-Data-Intern_REQ-002296","↗")</f>
        <v/>
      </c>
      <c r="J245" s="13" t="inlineStr">
        <is>
          <t>No</t>
        </is>
      </c>
      <c r="K245" s="13" t="inlineStr"/>
      <c r="L245" s="12" t="inlineStr"/>
      <c r="M245" s="12" t="inlineStr"/>
      <c r="N245" s="12" t="inlineStr"/>
      <c r="O245" s="12" t="inlineStr"/>
    </row>
    <row r="246" ht="16" customHeight="1">
      <c r="A246" s="12" t="inlineStr">
        <is>
          <t>Agricultural Resilience Intern</t>
        </is>
      </c>
      <c r="B246" s="12" t="inlineStr">
        <is>
          <t>Environmental Defense Fund</t>
        </is>
      </c>
      <c r="C246" s="13" t="inlineStr">
        <is>
          <t>2026-03-12</t>
        </is>
      </c>
      <c r="D246" s="45" t="n">
        <v>8</v>
      </c>
      <c r="E246" s="13" t="inlineStr">
        <is>
          <t>NY</t>
        </is>
      </c>
      <c r="F246" s="14" t="n">
        <v>7</v>
      </c>
      <c r="G246" s="13" t="inlineStr">
        <is>
          <t>Simplify</t>
        </is>
      </c>
      <c r="H246" s="12" t="inlineStr">
        <is>
          <t>Raleigh, NC, NYC</t>
        </is>
      </c>
      <c r="I246" s="15">
        <f>HYPERLINK("https://osv-edf.wd5.myworkdayjobs.com/Confidential/job/Remote---US-Home/Agricultural-Resilience-Intern_REQ-002266","↗")</f>
        <v/>
      </c>
      <c r="J246" s="13" t="inlineStr">
        <is>
          <t>No</t>
        </is>
      </c>
      <c r="K246" s="13" t="inlineStr"/>
      <c r="L246" s="12" t="inlineStr"/>
      <c r="M246" s="12" t="inlineStr"/>
      <c r="N246" s="12" t="inlineStr"/>
      <c r="O246" s="12" t="inlineStr"/>
    </row>
    <row r="247" ht="16" customHeight="1">
      <c r="A247" s="12" t="inlineStr">
        <is>
          <t>Community Air Monitoring Intern</t>
        </is>
      </c>
      <c r="B247" s="12" t="inlineStr">
        <is>
          <t>Environmental Defense Fund</t>
        </is>
      </c>
      <c r="C247" s="13" t="inlineStr">
        <is>
          <t>2026-03-12</t>
        </is>
      </c>
      <c r="D247" s="45" t="n">
        <v>8</v>
      </c>
      <c r="E247" s="13" t="inlineStr">
        <is>
          <t>NY</t>
        </is>
      </c>
      <c r="F247" s="14" t="n">
        <v>7</v>
      </c>
      <c r="G247" s="13" t="inlineStr">
        <is>
          <t>Simplify</t>
        </is>
      </c>
      <c r="H247" s="12" t="inlineStr">
        <is>
          <t>Boston, MA, Houston, TX, Washington, DC, SF, Austin, TX, Raleigh, NC, NYC, Boulder, CO</t>
        </is>
      </c>
      <c r="I247" s="15">
        <f>HYPERLINK("https://osv-edf.wd5.myworkdayjobs.com/Confidential/job/San-Francisco/XMLNAME---Community-Air-Monitoring-Intern-_REQ-002321","↗")</f>
        <v/>
      </c>
      <c r="J247" s="13" t="inlineStr">
        <is>
          <t>No</t>
        </is>
      </c>
      <c r="K247" s="13" t="inlineStr"/>
      <c r="L247" s="12" t="inlineStr"/>
      <c r="M247" s="12" t="inlineStr"/>
      <c r="N247" s="12" t="inlineStr"/>
      <c r="O247" s="12" t="inlineStr"/>
    </row>
    <row r="248" ht="16" customHeight="1">
      <c r="A248" s="8" t="inlineStr">
        <is>
          <t>Net Zero Data Analysis Intern</t>
        </is>
      </c>
      <c r="B248" s="8" t="inlineStr">
        <is>
          <t>Environmental Defense Fund</t>
        </is>
      </c>
      <c r="C248" s="9" t="inlineStr">
        <is>
          <t>2026-03-12</t>
        </is>
      </c>
      <c r="D248" s="48" t="n">
        <v>8</v>
      </c>
      <c r="E248" s="9" t="inlineStr">
        <is>
          <t>Remote</t>
        </is>
      </c>
      <c r="F248" s="11" t="n">
        <v>5</v>
      </c>
      <c r="G248" s="9" t="inlineStr">
        <is>
          <t>Simplify</t>
        </is>
      </c>
      <c r="H248" s="8" t="inlineStr">
        <is>
          <t>Boston, MA, Washington, DC, SF, Austin, TX, Remote in USA, Raleigh, NC, NYC, Boulder, CO</t>
        </is>
      </c>
      <c r="I248" s="10">
        <f>HYPERLINK("https://osv-edf.wd5.myworkdayjobs.com/Confidential/job/New-York/Net-Zero-Data-Analysis-Intern_REQ-002331","↗")</f>
        <v/>
      </c>
      <c r="J248" s="9" t="inlineStr">
        <is>
          <t>No</t>
        </is>
      </c>
      <c r="K248" s="9" t="inlineStr"/>
      <c r="L248" s="8" t="inlineStr"/>
      <c r="M248" s="8" t="inlineStr"/>
      <c r="N248" s="8" t="inlineStr"/>
      <c r="O248" s="8" t="inlineStr"/>
    </row>
    <row r="249" ht="16" customHeight="1">
      <c r="A249" s="2" t="inlineStr">
        <is>
          <t>Co-op Software Developer</t>
        </is>
      </c>
      <c r="B249" s="2" t="inlineStr">
        <is>
          <t>Thales</t>
        </is>
      </c>
      <c r="C249" s="3" t="inlineStr">
        <is>
          <t>2026-03-12</t>
        </is>
      </c>
      <c r="D249" s="44" t="n">
        <v>8</v>
      </c>
      <c r="E249" s="3" t="inlineStr">
        <is>
          <t>CA</t>
        </is>
      </c>
      <c r="F249" s="4" t="n">
        <v>5</v>
      </c>
      <c r="G249" s="3" t="inlineStr">
        <is>
          <t>Simplify</t>
        </is>
      </c>
      <c r="H249" s="2" t="inlineStr">
        <is>
          <t>Ottawa, ON, Canada</t>
        </is>
      </c>
      <c r="I249" s="5">
        <f>HYPERLINK("https://thales.wd3.myworkdayjobs.com/en-US/Careers/job/Ottawa/COOP-Software-Developer--Summer-Fall-2026--8-months-term-_R0318614","↗")</f>
        <v/>
      </c>
      <c r="J249" s="3" t="inlineStr">
        <is>
          <t>No</t>
        </is>
      </c>
      <c r="K249" s="3" t="inlineStr"/>
      <c r="L249" s="2" t="inlineStr"/>
      <c r="M249" s="2" t="inlineStr"/>
      <c r="N249" s="2" t="inlineStr"/>
      <c r="O249" s="2" t="inlineStr"/>
    </row>
    <row r="250" ht="16" customHeight="1">
      <c r="A250" s="2" t="inlineStr">
        <is>
          <t>Intern – Software Engineer Intern</t>
        </is>
      </c>
      <c r="B250" s="2" t="inlineStr">
        <is>
          <t>RTX</t>
        </is>
      </c>
      <c r="C250" s="3" t="inlineStr">
        <is>
          <t>2026-03-12</t>
        </is>
      </c>
      <c r="D250" s="44" t="n">
        <v>8</v>
      </c>
      <c r="E250" s="3" t="inlineStr"/>
      <c r="F250" s="4" t="n">
        <v>7</v>
      </c>
      <c r="G250" s="3" t="inlineStr">
        <is>
          <t>Simplify</t>
        </is>
      </c>
      <c r="H250" s="2" t="inlineStr">
        <is>
          <t>Indianapolis, IN</t>
        </is>
      </c>
      <c r="I250" s="5">
        <f>HYPERLINK("https://globalhr.wd5.myworkdayjobs.com/rec_rtx_ext_gateway/job/US-IN-INDIANAPOLIS-206--3939-Priority-Way-S-Dr--PRIORITY-BLDG-6/XMLNAME-2026-Intern---Software-Engineer-Intern---Onsite--IN-_01829309","↗")</f>
        <v/>
      </c>
      <c r="J250" s="3" t="inlineStr">
        <is>
          <t>No</t>
        </is>
      </c>
      <c r="K250" s="3" t="inlineStr"/>
      <c r="L250" s="2" t="inlineStr"/>
      <c r="M250" s="2" t="inlineStr"/>
      <c r="N250" s="2" t="inlineStr"/>
      <c r="O250" s="2" t="inlineStr"/>
    </row>
    <row r="251" ht="16" customHeight="1">
      <c r="A251" s="2" t="inlineStr">
        <is>
          <t>Intern - Software Engineer</t>
        </is>
      </c>
      <c r="B251" s="2" t="inlineStr">
        <is>
          <t>Nordson</t>
        </is>
      </c>
      <c r="C251" s="3" t="inlineStr">
        <is>
          <t>2026-03-12</t>
        </is>
      </c>
      <c r="D251" s="44" t="n">
        <v>8</v>
      </c>
      <c r="E251" s="3" t="inlineStr"/>
      <c r="F251" s="4" t="n">
        <v>7</v>
      </c>
      <c r="G251" s="3" t="inlineStr">
        <is>
          <t>Simplify</t>
        </is>
      </c>
      <c r="H251" s="2" t="inlineStr">
        <is>
          <t>Providence, RI</t>
        </is>
      </c>
      <c r="I251" s="5">
        <f>HYPERLINK("https://nordsonhcm.wd501.myworkdayjobs.com/nordsoncareers/job/USA---Rhode-Island---East-Providence/Summer-Intern---Software-Engineer_REQ50054","↗")</f>
        <v/>
      </c>
      <c r="J251" s="3" t="inlineStr">
        <is>
          <t>No</t>
        </is>
      </c>
      <c r="K251" s="3" t="inlineStr"/>
      <c r="L251" s="2" t="inlineStr"/>
      <c r="M251" s="2" t="inlineStr"/>
      <c r="N251" s="2" t="inlineStr"/>
      <c r="O251" s="2" t="inlineStr"/>
    </row>
    <row r="252" ht="16" customHeight="1">
      <c r="A252" s="12" t="inlineStr">
        <is>
          <t>Machine Learning/AI Scientist Intern</t>
        </is>
      </c>
      <c r="B252" s="12" t="inlineStr">
        <is>
          <t>Netflix</t>
        </is>
      </c>
      <c r="C252" s="13" t="inlineStr">
        <is>
          <t>2026-03-12</t>
        </is>
      </c>
      <c r="D252" s="45" t="n">
        <v>8</v>
      </c>
      <c r="E252" s="13" t="inlineStr">
        <is>
          <t>NY</t>
        </is>
      </c>
      <c r="F252" s="14" t="n">
        <v>6</v>
      </c>
      <c r="G252" s="13" t="inlineStr">
        <is>
          <t>Simplify</t>
        </is>
      </c>
      <c r="H252" s="12" t="inlineStr">
        <is>
          <t>LA, Los Gatos, CA, NYC</t>
        </is>
      </c>
      <c r="I252" s="15">
        <f>HYPERLINK("https://netflix.wd1.myworkdayjobs.com/Netflix/job/Los-Gatos/Machine-Learning-AI-Scientist-Intern--PhD---2026_JR36511","↗")</f>
        <v/>
      </c>
      <c r="J252" s="13" t="inlineStr">
        <is>
          <t>No</t>
        </is>
      </c>
      <c r="K252" s="13" t="inlineStr"/>
      <c r="L252" s="12" t="inlineStr"/>
      <c r="M252" s="12" t="inlineStr"/>
      <c r="N252" s="12" t="inlineStr"/>
      <c r="O252" s="12" t="inlineStr"/>
    </row>
    <row r="253" ht="16" customHeight="1">
      <c r="A253" s="2" t="inlineStr">
        <is>
          <t>Software Engineer PhD Intern - Streaming Algorithms</t>
        </is>
      </c>
      <c r="B253" s="2" t="inlineStr">
        <is>
          <t>Netflix</t>
        </is>
      </c>
      <c r="C253" s="3" t="inlineStr">
        <is>
          <t>2026-03-12</t>
        </is>
      </c>
      <c r="D253" s="44" t="n">
        <v>8</v>
      </c>
      <c r="E253" s="3" t="inlineStr">
        <is>
          <t>CA</t>
        </is>
      </c>
      <c r="F253" s="4" t="n">
        <v>7</v>
      </c>
      <c r="G253" s="3" t="inlineStr">
        <is>
          <t>Simplify</t>
        </is>
      </c>
      <c r="H253" s="2" t="inlineStr">
        <is>
          <t>Los Gatos, CA</t>
        </is>
      </c>
      <c r="I253" s="5">
        <f>HYPERLINK("https://netflix.wd1.myworkdayjobs.com/Netflix/job/Los-Gatos/Software-Engineer-PhD-Intern--Streaming-Algorithms--Summer-2026-_JR37687","↗")</f>
        <v/>
      </c>
      <c r="J253" s="3" t="inlineStr">
        <is>
          <t>No</t>
        </is>
      </c>
      <c r="K253" s="3" t="inlineStr"/>
      <c r="L253" s="2" t="inlineStr"/>
      <c r="M253" s="2" t="inlineStr"/>
      <c r="N253" s="2" t="inlineStr"/>
      <c r="O253" s="2" t="inlineStr"/>
    </row>
    <row r="254" ht="16" customHeight="1">
      <c r="A254" s="2" t="inlineStr">
        <is>
          <t>Analytics Engineer Intern</t>
        </is>
      </c>
      <c r="B254" s="2" t="inlineStr">
        <is>
          <t>Netflix</t>
        </is>
      </c>
      <c r="C254" s="3" t="inlineStr">
        <is>
          <t>2026-03-12</t>
        </is>
      </c>
      <c r="D254" s="44" t="n">
        <v>8</v>
      </c>
      <c r="E254" s="3" t="inlineStr">
        <is>
          <t>CA</t>
        </is>
      </c>
      <c r="F254" s="4" t="n">
        <v>5</v>
      </c>
      <c r="G254" s="3" t="inlineStr">
        <is>
          <t>Simplify</t>
        </is>
      </c>
      <c r="H254" s="2" t="inlineStr">
        <is>
          <t>LA, Los Gatos, CA</t>
        </is>
      </c>
      <c r="I254" s="5">
        <f>HYPERLINK("https://netflix.wd1.myworkdayjobs.com/Netflix/job/Los-Gatos/Analytics-Engineer-Intern---Content-Decision-Sciences-and-Conversation-Scaling--Summer-2026_JR37460","↗")</f>
        <v/>
      </c>
      <c r="J254" s="3" t="inlineStr">
        <is>
          <t>No</t>
        </is>
      </c>
      <c r="K254" s="3" t="inlineStr"/>
      <c r="L254" s="2" t="inlineStr"/>
      <c r="M254" s="2" t="inlineStr"/>
      <c r="N254" s="2" t="inlineStr"/>
      <c r="O254" s="2" t="inlineStr"/>
    </row>
    <row r="255" ht="16" customHeight="1">
      <c r="A255" s="2" t="inlineStr">
        <is>
          <t>Machine Learning Engineer Intern - Master of Science/Doctor of Philosophy</t>
        </is>
      </c>
      <c r="B255" s="2" t="inlineStr">
        <is>
          <t>Netflix</t>
        </is>
      </c>
      <c r="C255" s="3" t="inlineStr">
        <is>
          <t>2026-03-12</t>
        </is>
      </c>
      <c r="D255" s="44" t="n">
        <v>8</v>
      </c>
      <c r="E255" s="3" t="inlineStr">
        <is>
          <t>CA</t>
        </is>
      </c>
      <c r="F255" s="4" t="n">
        <v>4</v>
      </c>
      <c r="G255" s="3" t="inlineStr">
        <is>
          <t>Simplify</t>
        </is>
      </c>
      <c r="H255" s="2" t="inlineStr">
        <is>
          <t>LA, Los Gatos, CA</t>
        </is>
      </c>
      <c r="I255" s="5">
        <f>HYPERLINK("https://netflix.wd1.myworkdayjobs.com/Netflix/job/Los-Gatos/Machine-Learning-Engineer-Intern---MS-PhD--2026_JR36512-1","↗")</f>
        <v/>
      </c>
      <c r="J255" s="3" t="inlineStr">
        <is>
          <t>No</t>
        </is>
      </c>
      <c r="K255" s="3" t="inlineStr"/>
      <c r="L255" s="2" t="inlineStr"/>
      <c r="M255" s="2" t="inlineStr"/>
      <c r="N255" s="2" t="inlineStr"/>
      <c r="O255" s="2" t="inlineStr"/>
    </row>
    <row r="256" ht="16" customHeight="1">
      <c r="A256" s="2" t="inlineStr">
        <is>
          <t>Analytics Engineer Intern</t>
        </is>
      </c>
      <c r="B256" s="2" t="inlineStr">
        <is>
          <t>Netflix</t>
        </is>
      </c>
      <c r="C256" s="3" t="inlineStr">
        <is>
          <t>2026-03-12</t>
        </is>
      </c>
      <c r="D256" s="44" t="n">
        <v>8</v>
      </c>
      <c r="E256" s="3" t="inlineStr">
        <is>
          <t>CA</t>
        </is>
      </c>
      <c r="F256" s="4" t="n">
        <v>5</v>
      </c>
      <c r="G256" s="3" t="inlineStr">
        <is>
          <t>Simplify</t>
        </is>
      </c>
      <c r="H256" s="2" t="inlineStr">
        <is>
          <t>LA, Los Gatos, CA</t>
        </is>
      </c>
      <c r="I256" s="5">
        <f>HYPERLINK("https://netflix.wd1.myworkdayjobs.com/Netflix/job/Los-Gatos/Analytics-Engineering-Intern--Summer-2026_JR37461","↗")</f>
        <v/>
      </c>
      <c r="J256" s="3" t="inlineStr">
        <is>
          <t>No</t>
        </is>
      </c>
      <c r="K256" s="3" t="inlineStr"/>
      <c r="L256" s="2" t="inlineStr"/>
      <c r="M256" s="2" t="inlineStr"/>
      <c r="N256" s="2" t="inlineStr"/>
      <c r="O256" s="2" t="inlineStr"/>
    </row>
    <row r="257" ht="16" customHeight="1">
      <c r="A257" s="2" t="inlineStr">
        <is>
          <t>Data Engineering Intern</t>
        </is>
      </c>
      <c r="B257" s="2" t="inlineStr">
        <is>
          <t>Netflix</t>
        </is>
      </c>
      <c r="C257" s="3" t="inlineStr">
        <is>
          <t>2026-03-12</t>
        </is>
      </c>
      <c r="D257" s="44" t="n">
        <v>8</v>
      </c>
      <c r="E257" s="3" t="inlineStr">
        <is>
          <t>CA</t>
        </is>
      </c>
      <c r="F257" s="4" t="n">
        <v>4</v>
      </c>
      <c r="G257" s="3" t="inlineStr">
        <is>
          <t>Simplify</t>
        </is>
      </c>
      <c r="H257" s="2" t="inlineStr">
        <is>
          <t>LA, Los Gatos, CA</t>
        </is>
      </c>
      <c r="I257" s="5">
        <f>HYPERLINK("https://netflix.wd1.myworkdayjobs.com/Netflix/job/Los-Gatos/Data-Engineering-Intern--Summer-2026_JR37463","↗")</f>
        <v/>
      </c>
      <c r="J257" s="3" t="inlineStr">
        <is>
          <t>No</t>
        </is>
      </c>
      <c r="K257" s="3" t="inlineStr"/>
      <c r="L257" s="2" t="inlineStr"/>
      <c r="M257" s="2" t="inlineStr"/>
      <c r="N257" s="2" t="inlineStr"/>
      <c r="O257" s="2" t="inlineStr"/>
    </row>
    <row r="258" ht="16" customHeight="1">
      <c r="A258" s="22" t="inlineStr">
        <is>
          <t>Intern Software Engineer</t>
        </is>
      </c>
      <c r="B258" s="22" t="inlineStr">
        <is>
          <t>Northrop Grumman</t>
        </is>
      </c>
      <c r="C258" s="23" t="inlineStr">
        <is>
          <t>2026-03-12</t>
        </is>
      </c>
      <c r="D258" s="49" t="n">
        <v>8</v>
      </c>
      <c r="E258" s="23" t="inlineStr">
        <is>
          <t>PA</t>
        </is>
      </c>
      <c r="F258" s="24" t="n">
        <v>7</v>
      </c>
      <c r="G258" s="23" t="inlineStr">
        <is>
          <t>Simplify</t>
        </is>
      </c>
      <c r="H258" s="22" t="inlineStr">
        <is>
          <t>Palmdale, CA, Oklahoma City, OK, Grand Forks, ND, San Diego, CA, El Segundo, CA</t>
        </is>
      </c>
      <c r="I258" s="25">
        <f>HYPERLINK("https://ngc.wd1.myworkdayjobs.com/northrop_grumman_restricted_site/job/United-States-California-San-Diego/XMLNAME-2026-Intern-Software-Engineer_R10217175-2","↗")</f>
        <v/>
      </c>
      <c r="J258" s="23" t="inlineStr">
        <is>
          <t>No</t>
        </is>
      </c>
      <c r="K258" s="23" t="inlineStr"/>
      <c r="L258" s="22" t="inlineStr"/>
      <c r="M258" s="22" t="inlineStr"/>
      <c r="N258" s="22" t="inlineStr"/>
      <c r="O258" s="22" t="inlineStr"/>
    </row>
    <row r="259" ht="16" customHeight="1">
      <c r="A259" s="2" t="inlineStr">
        <is>
          <t>Artificial Intelligence Intern</t>
        </is>
      </c>
      <c r="B259" s="2" t="inlineStr">
        <is>
          <t>Nightwing Intelligence Solutions</t>
        </is>
      </c>
      <c r="C259" s="3" t="inlineStr">
        <is>
          <t>2026-03-12</t>
        </is>
      </c>
      <c r="D259" s="44" t="n">
        <v>8</v>
      </c>
      <c r="E259" s="3" t="inlineStr">
        <is>
          <t>VA</t>
        </is>
      </c>
      <c r="F259" s="7" t="n">
        <v>8</v>
      </c>
      <c r="G259" s="3" t="inlineStr">
        <is>
          <t>Simplify</t>
        </is>
      </c>
      <c r="H259" s="2" t="inlineStr">
        <is>
          <t>Dulles, VA</t>
        </is>
      </c>
      <c r="I259" s="5">
        <f>HYPERLINK("https://nwis.wd12.myworkdayjobs.com/NW/job/Sterling-VA/Artificial-Intelligence-Intern---2026_JR101096","↗")</f>
        <v/>
      </c>
      <c r="J259" s="3" t="inlineStr">
        <is>
          <t>No</t>
        </is>
      </c>
      <c r="K259" s="3" t="inlineStr"/>
      <c r="L259" s="2" t="inlineStr"/>
      <c r="M259" s="2" t="inlineStr"/>
      <c r="N259" s="2" t="inlineStr"/>
      <c r="O259" s="2" t="inlineStr"/>
    </row>
    <row r="260" ht="16" customHeight="1">
      <c r="A260" s="2" t="inlineStr">
        <is>
          <t>Intern - Software Engineering - Firmware</t>
        </is>
      </c>
      <c r="B260" s="2" t="inlineStr">
        <is>
          <t>Western Digital</t>
        </is>
      </c>
      <c r="C260" s="3" t="inlineStr">
        <is>
          <t>2026-03-11</t>
        </is>
      </c>
      <c r="D260" s="44" t="n">
        <v>9</v>
      </c>
      <c r="E260" s="3" t="inlineStr">
        <is>
          <t>CA</t>
        </is>
      </c>
      <c r="F260" s="6" t="n">
        <v>16</v>
      </c>
      <c r="G260" s="3" t="inlineStr">
        <is>
          <t>Simplify</t>
        </is>
      </c>
      <c r="H260" s="2" t="inlineStr">
        <is>
          <t>San Jose, CA</t>
        </is>
      </c>
      <c r="I260" s="5">
        <f>HYPERLINK("https://jobs.smartrecruiters.com/WesternDigital/744000114157092","↗")</f>
        <v/>
      </c>
      <c r="J260" s="3" t="inlineStr">
        <is>
          <t>No</t>
        </is>
      </c>
      <c r="K260" s="3" t="inlineStr"/>
      <c r="L260" s="2" t="inlineStr"/>
      <c r="M260" s="2" t="inlineStr"/>
      <c r="N260" s="2" t="inlineStr"/>
      <c r="O260" s="2" t="inlineStr"/>
    </row>
    <row r="261" ht="16" customHeight="1">
      <c r="A261" s="2" t="inlineStr">
        <is>
          <t>Software Engineer Intern - Cloud Services - HP IQ</t>
        </is>
      </c>
      <c r="B261" s="2" t="inlineStr">
        <is>
          <t>Hewlett Packard (HP)</t>
        </is>
      </c>
      <c r="C261" s="3" t="inlineStr">
        <is>
          <t>2026-03-11</t>
        </is>
      </c>
      <c r="D261" s="44" t="n">
        <v>9</v>
      </c>
      <c r="E261" s="3" t="inlineStr"/>
      <c r="F261" s="7" t="n">
        <v>11</v>
      </c>
      <c r="G261" s="3" t="inlineStr">
        <is>
          <t>Simplify</t>
        </is>
      </c>
      <c r="H261" s="2" t="inlineStr">
        <is>
          <t>SF</t>
        </is>
      </c>
      <c r="I261" s="5">
        <f>HYPERLINK("https://hp.wd5.myworkdayjobs.com/EXTEU-AC-CareerSite/job/San-Francisco-California-United-States-of-America/Software-Engineer-Intern--Cloud-Services---HP-IQ_3160773","↗")</f>
        <v/>
      </c>
      <c r="J261" s="3" t="inlineStr">
        <is>
          <t>No</t>
        </is>
      </c>
      <c r="K261" s="3" t="inlineStr"/>
      <c r="L261" s="2" t="inlineStr"/>
      <c r="M261" s="2" t="inlineStr"/>
      <c r="N261" s="2" t="inlineStr"/>
      <c r="O261" s="2" t="inlineStr"/>
    </row>
    <row r="262" ht="16" customHeight="1">
      <c r="A262" s="2" t="inlineStr">
        <is>
          <t>Browser Software Engineer Intern</t>
        </is>
      </c>
      <c r="B262" s="2" t="inlineStr">
        <is>
          <t>Hewlett Packard (HP)</t>
        </is>
      </c>
      <c r="C262" s="3" t="inlineStr">
        <is>
          <t>2026-03-11</t>
        </is>
      </c>
      <c r="D262" s="44" t="n">
        <v>9</v>
      </c>
      <c r="E262" s="3" t="inlineStr">
        <is>
          <t>CA</t>
        </is>
      </c>
      <c r="F262" s="4" t="n">
        <v>7</v>
      </c>
      <c r="G262" s="3" t="inlineStr">
        <is>
          <t>Simplify</t>
        </is>
      </c>
      <c r="H262" s="2" t="inlineStr">
        <is>
          <t>Cambridge, UK</t>
        </is>
      </c>
      <c r="I262" s="5">
        <f>HYPERLINK("https://hp.wd5.myworkdayjobs.com/EXTEU-AC-CareerSite/job/Cambridge-Cambridgeshire-United-Kingdom/Browser-Software-Engineer-Intern_3160410","↗")</f>
        <v/>
      </c>
      <c r="J262" s="3" t="inlineStr">
        <is>
          <t>No</t>
        </is>
      </c>
      <c r="K262" s="3" t="inlineStr"/>
      <c r="L262" s="2" t="inlineStr"/>
      <c r="M262" s="2" t="inlineStr"/>
      <c r="N262" s="2" t="inlineStr"/>
      <c r="O262" s="2" t="inlineStr"/>
    </row>
    <row r="263" ht="16" customHeight="1">
      <c r="A263" s="2" t="inlineStr">
        <is>
          <t>Intern - Software Engineer</t>
        </is>
      </c>
      <c r="B263" s="2" t="inlineStr">
        <is>
          <t>Applied Materials</t>
        </is>
      </c>
      <c r="C263" s="3" t="inlineStr">
        <is>
          <t>2026-03-11</t>
        </is>
      </c>
      <c r="D263" s="44" t="n">
        <v>9</v>
      </c>
      <c r="E263" s="3" t="inlineStr">
        <is>
          <t>CA</t>
        </is>
      </c>
      <c r="F263" s="4" t="n">
        <v>7</v>
      </c>
      <c r="G263" s="3" t="inlineStr">
        <is>
          <t>Simplify</t>
        </is>
      </c>
      <c r="H263" s="2" t="inlineStr">
        <is>
          <t>Santa Clara, CA</t>
        </is>
      </c>
      <c r="I263" s="5">
        <f>HYPERLINK("https://amat.wd1.myworkdayjobs.com/External/job/Santa-ClaraCA/XMLNAME-2026-Summer-Intern---Software-Engineer--Bachelors---Santa-Clara--CA-_R2612967","↗")</f>
        <v/>
      </c>
      <c r="J263" s="3" t="inlineStr">
        <is>
          <t>No</t>
        </is>
      </c>
      <c r="K263" s="3" t="inlineStr"/>
      <c r="L263" s="2" t="inlineStr"/>
      <c r="M263" s="2" t="inlineStr"/>
      <c r="N263" s="2" t="inlineStr"/>
      <c r="O263" s="2" t="inlineStr"/>
    </row>
    <row r="264" ht="16" customHeight="1">
      <c r="A264" s="22" t="inlineStr">
        <is>
          <t>Intern Technician - Electronics</t>
        </is>
      </c>
      <c r="B264" s="22" t="inlineStr">
        <is>
          <t>Microchip Technology</t>
        </is>
      </c>
      <c r="C264" s="23" t="inlineStr">
        <is>
          <t>2026-03-11</t>
        </is>
      </c>
      <c r="D264" s="49" t="n">
        <v>9</v>
      </c>
      <c r="E264" s="23" t="inlineStr">
        <is>
          <t>PA</t>
        </is>
      </c>
      <c r="F264" s="24" t="n">
        <v>5</v>
      </c>
      <c r="G264" s="23" t="inlineStr">
        <is>
          <t>Simplify</t>
        </is>
      </c>
      <c r="H264" s="22" t="inlineStr">
        <is>
          <t>Carlisle, PA</t>
        </is>
      </c>
      <c r="I264" s="25">
        <f>HYPERLINK("https://wd5.myworkdaysite.com/recruiting/microchiphr/External/job/PA---Mount-Holly-Springs/Intern-Technician--Electronics-_R847-26","↗")</f>
        <v/>
      </c>
      <c r="J264" s="23" t="inlineStr">
        <is>
          <t>No</t>
        </is>
      </c>
      <c r="K264" s="23" t="inlineStr"/>
      <c r="L264" s="22" t="inlineStr"/>
      <c r="M264" s="22" t="inlineStr"/>
      <c r="N264" s="22" t="inlineStr"/>
      <c r="O264" s="22" t="inlineStr"/>
    </row>
    <row r="265" ht="16" customHeight="1">
      <c r="A265" s="2" t="inlineStr">
        <is>
          <t>Software Developer Intern</t>
        </is>
      </c>
      <c r="B265" s="2" t="inlineStr">
        <is>
          <t>McKesson</t>
        </is>
      </c>
      <c r="C265" s="3" t="inlineStr">
        <is>
          <t>2026-03-11</t>
        </is>
      </c>
      <c r="D265" s="44" t="n">
        <v>9</v>
      </c>
      <c r="E265" s="3" t="inlineStr">
        <is>
          <t>CA</t>
        </is>
      </c>
      <c r="F265" s="4" t="n">
        <v>5</v>
      </c>
      <c r="G265" s="3" t="inlineStr">
        <is>
          <t>Simplify</t>
        </is>
      </c>
      <c r="H265" s="2" t="inlineStr">
        <is>
          <t>Montréal, QC, Canada</t>
        </is>
      </c>
      <c r="I265" s="5">
        <f>HYPERLINK("https://mckesson.wd3.myworkdayjobs.com/External_Careers/job/CAN-QC-Montreal-Ville-Saint-Laurent/Stagiaire-en-dveloppement-logiciel---t-2026---Software-Developer-Intern---Summer-2026_JR0143774-1","↗")</f>
        <v/>
      </c>
      <c r="J265" s="3" t="inlineStr">
        <is>
          <t>No</t>
        </is>
      </c>
      <c r="K265" s="3" t="inlineStr"/>
      <c r="L265" s="2" t="inlineStr"/>
      <c r="M265" s="2" t="inlineStr"/>
      <c r="N265" s="2" t="inlineStr"/>
      <c r="O265" s="2" t="inlineStr"/>
    </row>
    <row r="266" ht="16" customHeight="1">
      <c r="A266" s="28" t="inlineStr">
        <is>
          <t>AI Governance Technical Intern</t>
        </is>
      </c>
      <c r="B266" s="28" t="inlineStr">
        <is>
          <t>EisnerAmper</t>
        </is>
      </c>
      <c r="C266" s="29" t="inlineStr">
        <is>
          <t>2026-03-11</t>
        </is>
      </c>
      <c r="D266" s="50" t="n">
        <v>9</v>
      </c>
      <c r="E266" s="29" t="inlineStr">
        <is>
          <t>NJ</t>
        </is>
      </c>
      <c r="F266" s="30" t="n">
        <v>4</v>
      </c>
      <c r="G266" s="29" t="inlineStr">
        <is>
          <t>Simplify</t>
        </is>
      </c>
      <c r="H266" s="28" t="inlineStr">
        <is>
          <t>Johns Creek, GA, Philadelphia, PA, Iselin, Woodbridge Township, NJ, NYC, Atlanta, GA</t>
        </is>
      </c>
      <c r="I266" s="31">
        <f>HYPERLINK("https://eisneramper.wd1.myworkdayjobs.com/EisnerAmperEarlyCareers/job/Atlanta/XMLNAME-2026-AI-Governance-Technical-Intern_Req-8684","↗")</f>
        <v/>
      </c>
      <c r="J266" s="29" t="inlineStr">
        <is>
          <t>No</t>
        </is>
      </c>
      <c r="K266" s="29" t="inlineStr"/>
      <c r="L266" s="28" t="inlineStr"/>
      <c r="M266" s="28" t="inlineStr"/>
      <c r="N266" s="28" t="inlineStr"/>
      <c r="O266" s="28" t="inlineStr"/>
    </row>
    <row r="267" ht="16" customHeight="1">
      <c r="A267" s="2" t="inlineStr">
        <is>
          <t>Machine Learning/Deep Learning Intern</t>
        </is>
      </c>
      <c r="B267" s="2" t="inlineStr">
        <is>
          <t>BeOne</t>
        </is>
      </c>
      <c r="C267" s="3" t="inlineStr">
        <is>
          <t>2026-03-11</t>
        </is>
      </c>
      <c r="D267" s="44" t="n">
        <v>9</v>
      </c>
      <c r="E267" s="3" t="inlineStr">
        <is>
          <t>CA</t>
        </is>
      </c>
      <c r="F267" s="7" t="n">
        <v>8</v>
      </c>
      <c r="G267" s="3" t="inlineStr">
        <is>
          <t>Simplify</t>
        </is>
      </c>
      <c r="H267" s="2" t="inlineStr">
        <is>
          <t>San Carlos, CA</t>
        </is>
      </c>
      <c r="I267" s="5">
        <f>HYPERLINK("https://beigene.wd5.myworkdayjobs.com/beigene/job/San-Carlos/Summer-Internship--Machine-Learning-Deep-Learning--Global-Digital-Health-Intern--Hybrid---San-Carlos--CA-_R33718","↗")</f>
        <v/>
      </c>
      <c r="J267" s="3" t="inlineStr">
        <is>
          <t>No</t>
        </is>
      </c>
      <c r="K267" s="3" t="inlineStr"/>
      <c r="L267" s="2" t="inlineStr"/>
      <c r="M267" s="2" t="inlineStr"/>
      <c r="N267" s="2" t="inlineStr"/>
      <c r="O267" s="2" t="inlineStr"/>
    </row>
    <row r="268" ht="16" customHeight="1">
      <c r="A268" s="2" t="inlineStr">
        <is>
          <t>AI Intern</t>
        </is>
      </c>
      <c r="B268" s="2" t="inlineStr">
        <is>
          <t>KION Group</t>
        </is>
      </c>
      <c r="C268" s="3" t="inlineStr">
        <is>
          <t>2026-03-11</t>
        </is>
      </c>
      <c r="D268" s="44" t="n">
        <v>9</v>
      </c>
      <c r="E268" s="3" t="inlineStr">
        <is>
          <t>TX</t>
        </is>
      </c>
      <c r="F268" s="4" t="n">
        <v>4</v>
      </c>
      <c r="G268" s="3" t="inlineStr">
        <is>
          <t>Simplify</t>
        </is>
      </c>
      <c r="H268" s="2" t="inlineStr">
        <is>
          <t>Grand Rapids, MI, Plano, TX, Atlanta, GA</t>
        </is>
      </c>
      <c r="I268" s="5">
        <f>HYPERLINK("https://kiongroup.wd3.myworkdayjobs.com/kiongroup/job/Atlanta-GA-United-States/AI-Internships_JR-0088855-1","↗")</f>
        <v/>
      </c>
      <c r="J268" s="3" t="inlineStr">
        <is>
          <t>No</t>
        </is>
      </c>
      <c r="K268" s="3" t="inlineStr"/>
      <c r="L268" s="2" t="inlineStr"/>
      <c r="M268" s="2" t="inlineStr"/>
      <c r="N268" s="2" t="inlineStr"/>
      <c r="O268" s="2" t="inlineStr"/>
    </row>
    <row r="269" ht="16" customHeight="1">
      <c r="A269" s="2" t="inlineStr">
        <is>
          <t>Intern Program - Data Science</t>
        </is>
      </c>
      <c r="B269" s="2" t="inlineStr">
        <is>
          <t>Red Bull</t>
        </is>
      </c>
      <c r="C269" s="3" t="inlineStr">
        <is>
          <t>2026-03-11</t>
        </is>
      </c>
      <c r="D269" s="44" t="n">
        <v>9</v>
      </c>
      <c r="E269" s="3" t="inlineStr">
        <is>
          <t>CA</t>
        </is>
      </c>
      <c r="F269" s="4" t="n">
        <v>5</v>
      </c>
      <c r="G269" s="3" t="inlineStr">
        <is>
          <t>Simplify</t>
        </is>
      </c>
      <c r="H269" s="2" t="inlineStr">
        <is>
          <t>Santa Monica, CA</t>
        </is>
      </c>
      <c r="I269" s="5">
        <f>HYPERLINK("https://jobs.smartrecruiters.com/RedBull/744000114072406","↗")</f>
        <v/>
      </c>
      <c r="J269" s="3" t="inlineStr">
        <is>
          <t>No</t>
        </is>
      </c>
      <c r="K269" s="3" t="inlineStr"/>
      <c r="L269" s="2" t="inlineStr"/>
      <c r="M269" s="2" t="inlineStr"/>
      <c r="N269" s="2" t="inlineStr"/>
      <c r="O269" s="2" t="inlineStr"/>
    </row>
    <row r="270" ht="16" customHeight="1">
      <c r="A270" s="2" t="inlineStr">
        <is>
          <t>Software Engineer Intern</t>
        </is>
      </c>
      <c r="B270" s="2" t="inlineStr">
        <is>
          <t>Zip</t>
        </is>
      </c>
      <c r="C270" s="3" t="inlineStr">
        <is>
          <t>2026-03-11</t>
        </is>
      </c>
      <c r="D270" s="44" t="n">
        <v>9</v>
      </c>
      <c r="E270" s="3" t="inlineStr"/>
      <c r="F270" s="4" t="n">
        <v>7</v>
      </c>
      <c r="G270" s="3" t="inlineStr">
        <is>
          <t>Simplify</t>
        </is>
      </c>
      <c r="H270" s="2" t="inlineStr">
        <is>
          <t>SF</t>
        </is>
      </c>
      <c r="I270" s="5">
        <f>HYPERLINK("https://jobs.ashbyhq.com/zip/d404b517-9b02-4206-b49e-5c2986603baa/application","↗")</f>
        <v/>
      </c>
      <c r="J270" s="3" t="inlineStr">
        <is>
          <t>No</t>
        </is>
      </c>
      <c r="K270" s="3" t="inlineStr"/>
      <c r="L270" s="2" t="inlineStr"/>
      <c r="M270" s="2" t="inlineStr"/>
      <c r="N270" s="2" t="inlineStr"/>
      <c r="O270" s="2" t="inlineStr"/>
    </row>
    <row r="271" ht="16" customHeight="1">
      <c r="A271" s="2" t="inlineStr">
        <is>
          <t>Manufacturing Data Engineering Intern</t>
        </is>
      </c>
      <c r="B271" s="2" t="inlineStr">
        <is>
          <t>Figure</t>
        </is>
      </c>
      <c r="C271" s="3" t="inlineStr">
        <is>
          <t>2026-03-11</t>
        </is>
      </c>
      <c r="D271" s="44" t="n">
        <v>9</v>
      </c>
      <c r="E271" s="3" t="inlineStr">
        <is>
          <t>CA</t>
        </is>
      </c>
      <c r="F271" s="4" t="n">
        <v>4</v>
      </c>
      <c r="G271" s="3" t="inlineStr">
        <is>
          <t>Simplify</t>
        </is>
      </c>
      <c r="H271" s="2" t="inlineStr">
        <is>
          <t>San Jose, CA</t>
        </is>
      </c>
      <c r="I271" s="5">
        <f>HYPERLINK("https://job-boards.greenhouse.io/figureai/jobs/4662463006","↗")</f>
        <v/>
      </c>
      <c r="J271" s="3" t="inlineStr">
        <is>
          <t>No</t>
        </is>
      </c>
      <c r="K271" s="3" t="inlineStr"/>
      <c r="L271" s="2" t="inlineStr"/>
      <c r="M271" s="2" t="inlineStr"/>
      <c r="N271" s="2" t="inlineStr"/>
      <c r="O271" s="2" t="inlineStr"/>
    </row>
    <row r="272" ht="16" customHeight="1">
      <c r="A272" s="22" t="inlineStr">
        <is>
          <t>Intern - Autonomy - Path Planning</t>
        </is>
      </c>
      <c r="B272" s="22" t="inlineStr">
        <is>
          <t>Pivotal Software</t>
        </is>
      </c>
      <c r="C272" s="23" t="inlineStr">
        <is>
          <t>2026-03-11</t>
        </is>
      </c>
      <c r="D272" s="49" t="n">
        <v>9</v>
      </c>
      <c r="E272" s="23" t="inlineStr">
        <is>
          <t>PA</t>
        </is>
      </c>
      <c r="F272" s="24" t="n">
        <v>7</v>
      </c>
      <c r="G272" s="23" t="inlineStr">
        <is>
          <t>Simplify</t>
        </is>
      </c>
      <c r="H272" s="22" t="inlineStr">
        <is>
          <t>Palo Alto, CA</t>
        </is>
      </c>
      <c r="I272" s="25">
        <f>HYPERLINK("https://jobs.lever.co/pivotal/a1e35931-1634-4d5e-ba1a-4d80f7ae4b68/apply","↗")</f>
        <v/>
      </c>
      <c r="J272" s="23" t="inlineStr">
        <is>
          <t>No</t>
        </is>
      </c>
      <c r="K272" s="23" t="inlineStr"/>
      <c r="L272" s="22" t="inlineStr"/>
      <c r="M272" s="22" t="inlineStr"/>
      <c r="N272" s="22" t="inlineStr"/>
      <c r="O272" s="22" t="inlineStr"/>
    </row>
    <row r="273" ht="16" customHeight="1">
      <c r="A273" s="22" t="inlineStr">
        <is>
          <t>AI Intern</t>
        </is>
      </c>
      <c r="B273" s="22" t="inlineStr">
        <is>
          <t>Agility Robotics</t>
        </is>
      </c>
      <c r="C273" s="23" t="inlineStr">
        <is>
          <t>2026-03-11</t>
        </is>
      </c>
      <c r="D273" s="49" t="n">
        <v>9</v>
      </c>
      <c r="E273" s="23" t="inlineStr">
        <is>
          <t>PA</t>
        </is>
      </c>
      <c r="F273" s="7" t="n">
        <v>8</v>
      </c>
      <c r="G273" s="23" t="inlineStr">
        <is>
          <t>Simplify</t>
        </is>
      </c>
      <c r="H273" s="22" t="inlineStr">
        <is>
          <t>Fremont, CA, Salem, OR, Pittsburgh, PA</t>
        </is>
      </c>
      <c r="I273" s="25">
        <f>HYPERLINK("https://www.agilityrobotics.com/about/job-post?gh_jid=5818327004","↗")</f>
        <v/>
      </c>
      <c r="J273" s="23" t="inlineStr">
        <is>
          <t>No</t>
        </is>
      </c>
      <c r="K273" s="23" t="inlineStr"/>
      <c r="L273" s="22" t="inlineStr"/>
      <c r="M273" s="22" t="inlineStr"/>
      <c r="N273" s="22" t="inlineStr"/>
      <c r="O273" s="22" t="inlineStr"/>
    </row>
    <row r="274" ht="16" customHeight="1">
      <c r="A274" s="2" t="inlineStr">
        <is>
          <t>AI Intern</t>
        </is>
      </c>
      <c r="B274" s="2" t="inlineStr">
        <is>
          <t>KION Group</t>
        </is>
      </c>
      <c r="C274" s="3" t="inlineStr">
        <is>
          <t>2026-03-11</t>
        </is>
      </c>
      <c r="D274" s="44" t="n">
        <v>9</v>
      </c>
      <c r="E274" s="3" t="inlineStr">
        <is>
          <t>TX</t>
        </is>
      </c>
      <c r="F274" s="4" t="n">
        <v>4</v>
      </c>
      <c r="G274" s="3" t="inlineStr">
        <is>
          <t>Simplify</t>
        </is>
      </c>
      <c r="H274" s="2" t="inlineStr">
        <is>
          <t>Grand Rapids, MI, Plano, TX, Atlanta, GA</t>
        </is>
      </c>
      <c r="I274" s="5">
        <f>HYPERLINK("https://kiongroup.wd3.myworkdayjobs.com/en-US/KION_SCS/job/Atlanta-GA-United-States/AI-Internships_JR-0088855","↗")</f>
        <v/>
      </c>
      <c r="J274" s="3" t="inlineStr">
        <is>
          <t>No</t>
        </is>
      </c>
      <c r="K274" s="3" t="inlineStr"/>
      <c r="L274" s="2" t="inlineStr"/>
      <c r="M274" s="2" t="inlineStr"/>
      <c r="N274" s="2" t="inlineStr"/>
      <c r="O274" s="2" t="inlineStr"/>
    </row>
    <row r="275" ht="16" customHeight="1">
      <c r="A275" s="2" t="inlineStr">
        <is>
          <t>Software &amp; Data Analytics Intern</t>
        </is>
      </c>
      <c r="B275" s="2" t="inlineStr">
        <is>
          <t>Trane Technologies</t>
        </is>
      </c>
      <c r="C275" s="3" t="inlineStr">
        <is>
          <t>2026-03-11</t>
        </is>
      </c>
      <c r="D275" s="44" t="n">
        <v>9</v>
      </c>
      <c r="E275" s="3" t="inlineStr">
        <is>
          <t>NC</t>
        </is>
      </c>
      <c r="F275" s="4" t="n">
        <v>5</v>
      </c>
      <c r="G275" s="3" t="inlineStr">
        <is>
          <t>Simplify</t>
        </is>
      </c>
      <c r="H275" s="2" t="inlineStr">
        <is>
          <t>Huntersville, NC</t>
        </is>
      </c>
      <c r="I275" s="5">
        <f>HYPERLINK("https://careers.tranetechnologies.com/global/en/job/2602131","↗")</f>
        <v/>
      </c>
      <c r="J275" s="3" t="inlineStr">
        <is>
          <t>No</t>
        </is>
      </c>
      <c r="K275" s="3" t="inlineStr"/>
      <c r="L275" s="2" t="inlineStr"/>
      <c r="M275" s="2" t="inlineStr"/>
      <c r="N275" s="2" t="inlineStr"/>
      <c r="O275" s="2" t="inlineStr"/>
    </row>
    <row r="276" ht="16" customHeight="1">
      <c r="A276" s="2" t="inlineStr">
        <is>
          <t>Student Worker - Applied AI &amp; LLM Workflows</t>
        </is>
      </c>
      <c r="B276" s="2" t="inlineStr">
        <is>
          <t>Zoox</t>
        </is>
      </c>
      <c r="C276" s="3" t="inlineStr">
        <is>
          <t>2026-03-11</t>
        </is>
      </c>
      <c r="D276" s="44" t="n">
        <v>9</v>
      </c>
      <c r="E276" s="3" t="inlineStr">
        <is>
          <t>CA</t>
        </is>
      </c>
      <c r="F276" s="4" t="n">
        <v>6</v>
      </c>
      <c r="G276" s="3" t="inlineStr">
        <is>
          <t>Simplify</t>
        </is>
      </c>
      <c r="H276" s="2" t="inlineStr">
        <is>
          <t>San Mateo, CA</t>
        </is>
      </c>
      <c r="I276" s="5">
        <f>HYPERLINK("https://jobs.lever.co/zoox/a0185c33-76f1-4516-bec2-a5501c49b081/apply","↗")</f>
        <v/>
      </c>
      <c r="J276" s="3" t="inlineStr">
        <is>
          <t>No</t>
        </is>
      </c>
      <c r="K276" s="3" t="inlineStr"/>
      <c r="L276" s="2" t="inlineStr"/>
      <c r="M276" s="2" t="inlineStr"/>
      <c r="N276" s="2" t="inlineStr"/>
      <c r="O276" s="2" t="inlineStr"/>
    </row>
    <row r="277" ht="16" customHeight="1">
      <c r="A277" s="2" t="inlineStr">
        <is>
          <t>EM University Programs Software Developer Undergraduate Intern</t>
        </is>
      </c>
      <c r="B277" s="2" t="inlineStr">
        <is>
          <t>Savannah River National Laboratory</t>
        </is>
      </c>
      <c r="C277" s="3" t="inlineStr">
        <is>
          <t>2026-03-11</t>
        </is>
      </c>
      <c r="D277" s="44" t="n">
        <v>9</v>
      </c>
      <c r="E277" s="3" t="inlineStr"/>
      <c r="F277" s="4" t="n">
        <v>5</v>
      </c>
      <c r="G277" s="3" t="inlineStr">
        <is>
          <t>Simplify</t>
        </is>
      </c>
      <c r="H277" s="2" t="inlineStr">
        <is>
          <t>North Augusta, SC</t>
        </is>
      </c>
      <c r="I277" s="5">
        <f>HYPERLINK("https://ewvl.fa.us8.oraclecloud.com/hcmUI/CandidateExperience/en/sites/CX_1/job/1994","↗")</f>
        <v/>
      </c>
      <c r="J277" s="3" t="inlineStr">
        <is>
          <t>No</t>
        </is>
      </c>
      <c r="K277" s="3" t="inlineStr"/>
      <c r="L277" s="2" t="inlineStr"/>
      <c r="M277" s="2" t="inlineStr"/>
      <c r="N277" s="2" t="inlineStr"/>
      <c r="O277" s="2" t="inlineStr"/>
    </row>
    <row r="278" ht="16" customHeight="1">
      <c r="A278" s="2" t="inlineStr">
        <is>
          <t>Vehicle Software Engineering Intern</t>
        </is>
      </c>
      <c r="B278" s="2" t="inlineStr">
        <is>
          <t>Parallel Systems</t>
        </is>
      </c>
      <c r="C278" s="3" t="inlineStr">
        <is>
          <t>2026-03-11</t>
        </is>
      </c>
      <c r="D278" s="44" t="n">
        <v>9</v>
      </c>
      <c r="E278" s="3" t="inlineStr"/>
      <c r="F278" s="6" t="n">
        <v>13</v>
      </c>
      <c r="G278" s="3" t="inlineStr">
        <is>
          <t>Simplify</t>
        </is>
      </c>
      <c r="H278" s="2" t="inlineStr">
        <is>
          <t>LA</t>
        </is>
      </c>
      <c r="I278" s="5">
        <f>HYPERLINK("https://boards.greenhouse.io/parallel/jobs/5076769007","↗")</f>
        <v/>
      </c>
      <c r="J278" s="3" t="inlineStr">
        <is>
          <t>No</t>
        </is>
      </c>
      <c r="K278" s="3" t="inlineStr"/>
      <c r="L278" s="2" t="inlineStr"/>
      <c r="M278" s="2" t="inlineStr"/>
      <c r="N278" s="2" t="inlineStr"/>
      <c r="O278" s="2" t="inlineStr"/>
    </row>
    <row r="279" ht="16" customHeight="1">
      <c r="A279" s="2" t="inlineStr">
        <is>
          <t>Application Engineer Intern</t>
        </is>
      </c>
      <c r="B279" s="2" t="inlineStr">
        <is>
          <t>Monolithic Power Systems</t>
        </is>
      </c>
      <c r="C279" s="3" t="inlineStr">
        <is>
          <t>2026-03-11</t>
        </is>
      </c>
      <c r="D279" s="44" t="n">
        <v>9</v>
      </c>
      <c r="E279" s="3" t="inlineStr">
        <is>
          <t>CA</t>
        </is>
      </c>
      <c r="F279" s="4" t="n">
        <v>5</v>
      </c>
      <c r="G279" s="3" t="inlineStr">
        <is>
          <t>Simplify</t>
        </is>
      </c>
      <c r="H279" s="2" t="inlineStr">
        <is>
          <t>San Jose, CA</t>
        </is>
      </c>
      <c r="I279" s="5">
        <f>HYPERLINK("https://monolithicpower.wd12.myworkdayjobs.com/MPS_Careers/job/San-Jose-CA/Application-Engineer-intern_R-1197","↗")</f>
        <v/>
      </c>
      <c r="J279" s="3" t="inlineStr">
        <is>
          <t>No</t>
        </is>
      </c>
      <c r="K279" s="3" t="inlineStr"/>
      <c r="L279" s="2" t="inlineStr"/>
      <c r="M279" s="2" t="inlineStr"/>
      <c r="N279" s="2" t="inlineStr"/>
      <c r="O279" s="2" t="inlineStr"/>
    </row>
    <row r="280" ht="16" customHeight="1">
      <c r="A280" s="2" t="inlineStr">
        <is>
          <t>Software Engineer Intern</t>
        </is>
      </c>
      <c r="B280" s="2" t="inlineStr">
        <is>
          <t>HERE Technologies</t>
        </is>
      </c>
      <c r="C280" s="3" t="inlineStr">
        <is>
          <t>2026-03-11</t>
        </is>
      </c>
      <c r="D280" s="44" t="n">
        <v>9</v>
      </c>
      <c r="E280" s="3" t="inlineStr">
        <is>
          <t>IL</t>
        </is>
      </c>
      <c r="F280" s="7" t="n">
        <v>9</v>
      </c>
      <c r="G280" s="3" t="inlineStr">
        <is>
          <t>Simplify</t>
        </is>
      </c>
      <c r="H280" s="2" t="inlineStr">
        <is>
          <t>Chicago, IL</t>
        </is>
      </c>
      <c r="I280" s="5">
        <f>HYPERLINK("https://careers-here.icims.com/jobs/80793/job?mobile=true&amp;needsRedirect=false","↗")</f>
        <v/>
      </c>
      <c r="J280" s="3" t="inlineStr">
        <is>
          <t>No</t>
        </is>
      </c>
      <c r="K280" s="3" t="inlineStr"/>
      <c r="L280" s="2" t="inlineStr"/>
      <c r="M280" s="2" t="inlineStr"/>
      <c r="N280" s="2" t="inlineStr"/>
      <c r="O280" s="2" t="inlineStr"/>
    </row>
    <row r="281" ht="16" customHeight="1">
      <c r="A281" s="2" t="inlineStr">
        <is>
          <t>Intern Firmware Engineer</t>
        </is>
      </c>
      <c r="B281" s="2" t="inlineStr">
        <is>
          <t>Advanced Energy</t>
        </is>
      </c>
      <c r="C281" s="3" t="inlineStr">
        <is>
          <t>2026-03-11</t>
        </is>
      </c>
      <c r="D281" s="44" t="n">
        <v>9</v>
      </c>
      <c r="E281" s="3" t="inlineStr">
        <is>
          <t>CO</t>
        </is>
      </c>
      <c r="F281" s="4" t="n">
        <v>5</v>
      </c>
      <c r="G281" s="3" t="inlineStr">
        <is>
          <t>Simplify</t>
        </is>
      </c>
      <c r="H281" s="2" t="inlineStr">
        <is>
          <t>Fort Collins, CO</t>
        </is>
      </c>
      <c r="I281" s="5">
        <f>HYPERLINK("https://jobs.advanced-energy.com/job/Fort-Collins-Intern-Firmware-Engineer-Summer-2026-CO-80525/1372518000/?ats=successfactors","↗")</f>
        <v/>
      </c>
      <c r="J281" s="3" t="inlineStr">
        <is>
          <t>No</t>
        </is>
      </c>
      <c r="K281" s="3" t="inlineStr"/>
      <c r="L281" s="2" t="inlineStr"/>
      <c r="M281" s="2" t="inlineStr"/>
      <c r="N281" s="2" t="inlineStr"/>
      <c r="O281" s="2" t="inlineStr"/>
    </row>
    <row r="282" ht="16" customHeight="1">
      <c r="A282" s="2" t="inlineStr">
        <is>
          <t>Data Engineer Intern</t>
        </is>
      </c>
      <c r="B282" s="2" t="inlineStr">
        <is>
          <t>Centerfield</t>
        </is>
      </c>
      <c r="C282" s="3" t="inlineStr">
        <is>
          <t>2026-03-11</t>
        </is>
      </c>
      <c r="D282" s="44" t="n">
        <v>9</v>
      </c>
      <c r="E282" s="3" t="inlineStr"/>
      <c r="F282" s="4" t="n">
        <v>7</v>
      </c>
      <c r="G282" s="3" t="inlineStr">
        <is>
          <t>Simplify</t>
        </is>
      </c>
      <c r="H282" s="2" t="inlineStr">
        <is>
          <t>LA</t>
        </is>
      </c>
      <c r="I282" s="5">
        <f>HYPERLINK("https://jobs.ashbyhq.com/centerfield/ade3a6da-e897-4eae-ba8e-b18f32e8ac17/application","↗")</f>
        <v/>
      </c>
      <c r="J282" s="3" t="inlineStr">
        <is>
          <t>No</t>
        </is>
      </c>
      <c r="K282" s="3" t="inlineStr"/>
      <c r="L282" s="2" t="inlineStr"/>
      <c r="M282" s="2" t="inlineStr"/>
      <c r="N282" s="2" t="inlineStr"/>
      <c r="O282" s="2" t="inlineStr"/>
    </row>
    <row r="283" ht="16" customHeight="1">
      <c r="A283" s="2" t="inlineStr">
        <is>
          <t>Software Developer Intern</t>
        </is>
      </c>
      <c r="B283" s="2" t="inlineStr">
        <is>
          <t>Al Warren Oil Company</t>
        </is>
      </c>
      <c r="C283" s="3" t="inlineStr">
        <is>
          <t>2026-03-11</t>
        </is>
      </c>
      <c r="D283" s="44" t="n">
        <v>9</v>
      </c>
      <c r="E283" s="3" t="inlineStr">
        <is>
          <t>IL</t>
        </is>
      </c>
      <c r="F283" s="4" t="n">
        <v>5</v>
      </c>
      <c r="G283" s="3" t="inlineStr">
        <is>
          <t>Simplify</t>
        </is>
      </c>
      <c r="H283" s="2" t="inlineStr">
        <is>
          <t>Elk Grove Village, IL</t>
        </is>
      </c>
      <c r="I283" s="5">
        <f>HYPERLINK("https://apply.workable.com/al-warren-oil-company-inc/j/D1A7DB40A1/apply","↗")</f>
        <v/>
      </c>
      <c r="J283" s="3" t="inlineStr">
        <is>
          <t>No</t>
        </is>
      </c>
      <c r="K283" s="3" t="inlineStr"/>
      <c r="L283" s="2" t="inlineStr"/>
      <c r="M283" s="2" t="inlineStr"/>
      <c r="N283" s="2" t="inlineStr"/>
      <c r="O283" s="2" t="inlineStr"/>
    </row>
    <row r="284" ht="16" customHeight="1">
      <c r="A284" s="2" t="inlineStr">
        <is>
          <t>Software Development Intern</t>
        </is>
      </c>
      <c r="B284" s="2" t="inlineStr">
        <is>
          <t>Altom Transport</t>
        </is>
      </c>
      <c r="C284" s="3" t="inlineStr">
        <is>
          <t>2026-03-11</t>
        </is>
      </c>
      <c r="D284" s="44" t="n">
        <v>9</v>
      </c>
      <c r="E284" s="3" t="inlineStr">
        <is>
          <t>IL</t>
        </is>
      </c>
      <c r="F284" s="4" t="n">
        <v>5</v>
      </c>
      <c r="G284" s="3" t="inlineStr">
        <is>
          <t>Simplify</t>
        </is>
      </c>
      <c r="H284" s="2" t="inlineStr">
        <is>
          <t>Chicago, IL</t>
        </is>
      </c>
      <c r="I284" s="5">
        <f>HYPERLINK("https://apply.workable.com/altom-transport/j/BE787F70C7/apply","↗")</f>
        <v/>
      </c>
      <c r="J284" s="3" t="inlineStr">
        <is>
          <t>No</t>
        </is>
      </c>
      <c r="K284" s="3" t="inlineStr"/>
      <c r="L284" s="2" t="inlineStr"/>
      <c r="M284" s="2" t="inlineStr"/>
      <c r="N284" s="2" t="inlineStr"/>
      <c r="O284" s="2" t="inlineStr"/>
    </row>
    <row r="285" ht="16" customHeight="1">
      <c r="A285" s="2" t="inlineStr">
        <is>
          <t>Software Engineer Intern</t>
        </is>
      </c>
      <c r="B285" s="2" t="inlineStr">
        <is>
          <t>HERE Technologies</t>
        </is>
      </c>
      <c r="C285" s="3" t="inlineStr">
        <is>
          <t>2026-03-11</t>
        </is>
      </c>
      <c r="D285" s="44" t="n">
        <v>9</v>
      </c>
      <c r="E285" s="3" t="inlineStr">
        <is>
          <t>IL</t>
        </is>
      </c>
      <c r="F285" s="7" t="n">
        <v>9</v>
      </c>
      <c r="G285" s="3" t="inlineStr">
        <is>
          <t>Simplify</t>
        </is>
      </c>
      <c r="H285" s="2" t="inlineStr">
        <is>
          <t>Chicago, IL</t>
        </is>
      </c>
      <c r="I285" s="5">
        <f>HYPERLINK("https://careers-here.icims.com/jobs/80772/job?mobile=true&amp;needsRedirect=false","↗")</f>
        <v/>
      </c>
      <c r="J285" s="3" t="inlineStr">
        <is>
          <t>No</t>
        </is>
      </c>
      <c r="K285" s="3" t="inlineStr"/>
      <c r="L285" s="2" t="inlineStr"/>
      <c r="M285" s="2" t="inlineStr"/>
      <c r="N285" s="2" t="inlineStr"/>
      <c r="O285" s="2" t="inlineStr"/>
    </row>
    <row r="286" ht="16" customHeight="1">
      <c r="A286" s="2" t="inlineStr">
        <is>
          <t>Software Engineer Intern</t>
        </is>
      </c>
      <c r="B286" s="2" t="inlineStr">
        <is>
          <t>General Dynamics Mission Systems</t>
        </is>
      </c>
      <c r="C286" s="3" t="inlineStr">
        <is>
          <t>2026-03-11</t>
        </is>
      </c>
      <c r="D286" s="44" t="n">
        <v>9</v>
      </c>
      <c r="E286" s="3" t="inlineStr"/>
      <c r="F286" s="6" t="n">
        <v>12</v>
      </c>
      <c r="G286" s="3" t="inlineStr">
        <is>
          <t>Simplify</t>
        </is>
      </c>
      <c r="H286" s="2" t="inlineStr">
        <is>
          <t>Bloomington, MN</t>
        </is>
      </c>
      <c r="I286" s="5">
        <f>HYPERLINK("https://careers-gdms.icims.com/jobs/70859/job?mobile=true&amp;needsRedirect=false","↗")</f>
        <v/>
      </c>
      <c r="J286" s="3" t="inlineStr">
        <is>
          <t>No</t>
        </is>
      </c>
      <c r="K286" s="3" t="inlineStr"/>
      <c r="L286" s="2" t="inlineStr"/>
      <c r="M286" s="2" t="inlineStr"/>
      <c r="N286" s="2" t="inlineStr"/>
      <c r="O286" s="2" t="inlineStr"/>
    </row>
    <row r="287" ht="16" customHeight="1">
      <c r="A287" s="2" t="inlineStr">
        <is>
          <t>SW Engineering Intern</t>
        </is>
      </c>
      <c r="B287" s="2" t="inlineStr">
        <is>
          <t>General Dynamics Mission Systems</t>
        </is>
      </c>
      <c r="C287" s="3" t="inlineStr">
        <is>
          <t>2026-03-11</t>
        </is>
      </c>
      <c r="D287" s="44" t="n">
        <v>9</v>
      </c>
      <c r="E287" s="3" t="inlineStr">
        <is>
          <t>VA</t>
        </is>
      </c>
      <c r="F287" s="4" t="n">
        <v>5</v>
      </c>
      <c r="G287" s="3" t="inlineStr">
        <is>
          <t>Simplify</t>
        </is>
      </c>
      <c r="H287" s="2" t="inlineStr">
        <is>
          <t>Manassas, VA</t>
        </is>
      </c>
      <c r="I287" s="5">
        <f>HYPERLINK("https://careers-gdms.icims.com/jobs/71437/job?mobile=true&amp;needsRedirect=false","↗")</f>
        <v/>
      </c>
      <c r="J287" s="3" t="inlineStr">
        <is>
          <t>No</t>
        </is>
      </c>
      <c r="K287" s="3" t="inlineStr"/>
      <c r="L287" s="2" t="inlineStr"/>
      <c r="M287" s="2" t="inlineStr"/>
      <c r="N287" s="2" t="inlineStr"/>
      <c r="O287" s="2" t="inlineStr"/>
    </row>
    <row r="288" ht="16" customHeight="1">
      <c r="A288" s="2" t="inlineStr">
        <is>
          <t>Intern - Business Intelligence</t>
        </is>
      </c>
      <c r="B288" s="2" t="inlineStr">
        <is>
          <t>Red Bull</t>
        </is>
      </c>
      <c r="C288" s="3" t="inlineStr">
        <is>
          <t>2026-03-11</t>
        </is>
      </c>
      <c r="D288" s="44" t="n">
        <v>9</v>
      </c>
      <c r="E288" s="3" t="inlineStr">
        <is>
          <t>CA</t>
        </is>
      </c>
      <c r="F288" s="4" t="n">
        <v>5</v>
      </c>
      <c r="G288" s="3" t="inlineStr">
        <is>
          <t>Simplify</t>
        </is>
      </c>
      <c r="H288" s="2" t="inlineStr">
        <is>
          <t>Santa Monica, CA</t>
        </is>
      </c>
      <c r="I288" s="5">
        <f>HYPERLINK("https://jobs.smartrecruiters.com/RedBull/744000114072546","↗")</f>
        <v/>
      </c>
      <c r="J288" s="3" t="inlineStr">
        <is>
          <t>No</t>
        </is>
      </c>
      <c r="K288" s="3" t="inlineStr"/>
      <c r="L288" s="2" t="inlineStr"/>
      <c r="M288" s="2" t="inlineStr"/>
      <c r="N288" s="2" t="inlineStr"/>
      <c r="O288" s="2" t="inlineStr"/>
    </row>
    <row r="289" ht="16" customHeight="1">
      <c r="A289" s="2" t="inlineStr">
        <is>
          <t>Intern – Innovation Platform Software Engineer</t>
        </is>
      </c>
      <c r="B289" s="2" t="inlineStr">
        <is>
          <t>Rockwell Automation</t>
        </is>
      </c>
      <c r="C289" s="3" t="inlineStr">
        <is>
          <t>2026-03-11</t>
        </is>
      </c>
      <c r="D289" s="44" t="n">
        <v>9</v>
      </c>
      <c r="E289" s="3" t="inlineStr">
        <is>
          <t>MI</t>
        </is>
      </c>
      <c r="F289" s="4" t="n">
        <v>7</v>
      </c>
      <c r="G289" s="3" t="inlineStr">
        <is>
          <t>Simplify</t>
        </is>
      </c>
      <c r="H289" s="2" t="inlineStr">
        <is>
          <t>Milwaukee, WI</t>
        </is>
      </c>
      <c r="I289" s="5">
        <f>HYPERLINK("https://rockwellautomation.wd1.myworkdayjobs.com/External-Rockwell-Automation-Early-Careers/job/Milwaukee-Wisconsin-United-States/Intern--Innovation-Platform-Software-Engineer_R25-6933","↗")</f>
        <v/>
      </c>
      <c r="J289" s="3" t="inlineStr">
        <is>
          <t>No</t>
        </is>
      </c>
      <c r="K289" s="3" t="inlineStr"/>
      <c r="L289" s="2" t="inlineStr"/>
      <c r="M289" s="2" t="inlineStr"/>
      <c r="N289" s="2" t="inlineStr"/>
      <c r="O289" s="2" t="inlineStr"/>
    </row>
    <row r="290" ht="16" customHeight="1">
      <c r="A290" s="2" t="inlineStr">
        <is>
          <t>Co-op Software Engineering</t>
        </is>
      </c>
      <c r="B290" s="2" t="inlineStr">
        <is>
          <t>Rockwell Automation</t>
        </is>
      </c>
      <c r="C290" s="3" t="inlineStr">
        <is>
          <t>2026-03-11</t>
        </is>
      </c>
      <c r="D290" s="44" t="n">
        <v>9</v>
      </c>
      <c r="E290" s="3" t="inlineStr">
        <is>
          <t>MA</t>
        </is>
      </c>
      <c r="F290" s="7" t="n">
        <v>11</v>
      </c>
      <c r="G290" s="3" t="inlineStr">
        <is>
          <t>Simplify</t>
        </is>
      </c>
      <c r="H290" s="2" t="inlineStr">
        <is>
          <t>Mayfield Heights, OH, Milwaukee, WI</t>
        </is>
      </c>
      <c r="I290" s="5">
        <f>HYPERLINK("https://rockwellautomation.wd1.myworkdayjobs.com/External-Rockwell-Automation-Early-Careers/job/Mayfield-Heights-Ohio-United-States/Co-op--Software-Engineering--May-2026---December-2026-_R25-7377","↗")</f>
        <v/>
      </c>
      <c r="J290" s="3" t="inlineStr">
        <is>
          <t>No</t>
        </is>
      </c>
      <c r="K290" s="3" t="inlineStr"/>
      <c r="L290" s="2" t="inlineStr"/>
      <c r="M290" s="2" t="inlineStr"/>
      <c r="N290" s="2" t="inlineStr"/>
      <c r="O290" s="2" t="inlineStr"/>
    </row>
    <row r="291" ht="16" customHeight="1">
      <c r="A291" s="2" t="inlineStr">
        <is>
          <t>Software Engineering Intern</t>
        </is>
      </c>
      <c r="B291" s="2" t="inlineStr">
        <is>
          <t>Ultra</t>
        </is>
      </c>
      <c r="C291" s="3" t="inlineStr">
        <is>
          <t>2026-03-11</t>
        </is>
      </c>
      <c r="D291" s="44" t="n">
        <v>9</v>
      </c>
      <c r="E291" s="3" t="inlineStr">
        <is>
          <t>VA</t>
        </is>
      </c>
      <c r="F291" s="7" t="n">
        <v>11</v>
      </c>
      <c r="G291" s="3" t="inlineStr">
        <is>
          <t>Simplify</t>
        </is>
      </c>
      <c r="H291" s="2" t="inlineStr">
        <is>
          <t>Chantilly, VA</t>
        </is>
      </c>
      <c r="I291" s="5">
        <f>HYPERLINK("https://ultra.wd3.myworkdayjobs.com/ultra-careers/job/Chantilly-VA-United-States/Software-Engineering-Intern--Summer-2026-_REQ-11492","↗")</f>
        <v/>
      </c>
      <c r="J291" s="3" t="inlineStr">
        <is>
          <t>No</t>
        </is>
      </c>
      <c r="K291" s="3" t="inlineStr"/>
      <c r="L291" s="2" t="inlineStr"/>
      <c r="M291" s="2" t="inlineStr"/>
      <c r="N291" s="2" t="inlineStr"/>
      <c r="O291" s="2" t="inlineStr"/>
    </row>
    <row r="292" ht="16" customHeight="1">
      <c r="A292" s="2" t="inlineStr">
        <is>
          <t>Embedded Intern - Security</t>
        </is>
      </c>
      <c r="B292" s="2" t="inlineStr">
        <is>
          <t>Verkada</t>
        </is>
      </c>
      <c r="C292" s="3" t="inlineStr">
        <is>
          <t>2026-03-11</t>
        </is>
      </c>
      <c r="D292" s="44" t="n">
        <v>9</v>
      </c>
      <c r="E292" s="3" t="inlineStr">
        <is>
          <t>CA</t>
        </is>
      </c>
      <c r="F292" s="4" t="n">
        <v>5</v>
      </c>
      <c r="G292" s="3" t="inlineStr">
        <is>
          <t>Simplify</t>
        </is>
      </c>
      <c r="H292" s="2" t="inlineStr">
        <is>
          <t>San Mateo, CA</t>
        </is>
      </c>
      <c r="I292" s="5">
        <f>HYPERLINK("https://job-boards.greenhouse.io/verkada/jobs/4915313007","↗")</f>
        <v/>
      </c>
      <c r="J292" s="3" t="inlineStr">
        <is>
          <t>No</t>
        </is>
      </c>
      <c r="K292" s="3" t="inlineStr"/>
      <c r="L292" s="2" t="inlineStr"/>
      <c r="M292" s="2" t="inlineStr"/>
      <c r="N292" s="2" t="inlineStr"/>
      <c r="O292" s="2" t="inlineStr"/>
    </row>
    <row r="293" ht="16" customHeight="1">
      <c r="A293" s="22" t="inlineStr">
        <is>
          <t>Radar Sensing AI Research Intern</t>
        </is>
      </c>
      <c r="B293" s="22" t="inlineStr">
        <is>
          <t>Robert Bosch Venture Capital</t>
        </is>
      </c>
      <c r="C293" s="23" t="inlineStr">
        <is>
          <t>2026-03-11</t>
        </is>
      </c>
      <c r="D293" s="49" t="n">
        <v>9</v>
      </c>
      <c r="E293" s="23" t="inlineStr">
        <is>
          <t>PA</t>
        </is>
      </c>
      <c r="F293" s="7" t="n">
        <v>8</v>
      </c>
      <c r="G293" s="23" t="inlineStr">
        <is>
          <t>Simplify</t>
        </is>
      </c>
      <c r="H293" s="22" t="inlineStr">
        <is>
          <t>Pittsburgh, PA</t>
        </is>
      </c>
      <c r="I293" s="25">
        <f>HYPERLINK("https://jobs.smartrecruiters.com/BoschGroup/744000114051017","↗")</f>
        <v/>
      </c>
      <c r="J293" s="23" t="inlineStr">
        <is>
          <t>No</t>
        </is>
      </c>
      <c r="K293" s="23" t="inlineStr"/>
      <c r="L293" s="22" t="inlineStr"/>
      <c r="M293" s="22" t="inlineStr"/>
      <c r="N293" s="22" t="inlineStr"/>
      <c r="O293" s="22" t="inlineStr"/>
    </row>
    <row r="294" ht="16" customHeight="1">
      <c r="A294" s="28" t="inlineStr">
        <is>
          <t>AI Engineering Intern (LLM)</t>
        </is>
      </c>
      <c r="B294" s="28" t="inlineStr">
        <is>
          <t>Veolia</t>
        </is>
      </c>
      <c r="C294" s="29" t="inlineStr">
        <is>
          <t>2026-03-11</t>
        </is>
      </c>
      <c r="D294" s="50" t="n">
        <v>9</v>
      </c>
      <c r="E294" s="29" t="inlineStr">
        <is>
          <t>NJ</t>
        </is>
      </c>
      <c r="F294" s="30" t="n">
        <v>6</v>
      </c>
      <c r="G294" s="29" t="inlineStr">
        <is>
          <t>AlmondCroffle</t>
        </is>
      </c>
      <c r="H294" s="28" t="inlineStr">
        <is>
          <t>Paramus, NJ</t>
        </is>
      </c>
      <c r="I294" s="31">
        <f>HYPERLINK("https://jobs.smartrecruiters.com/VeoliaEnvironnementSA/060f2b47-8c58-4d3d-86a0-f2dcbcb2bf9b","↗")</f>
        <v/>
      </c>
      <c r="J294" s="29" t="inlineStr">
        <is>
          <t>No</t>
        </is>
      </c>
      <c r="K294" s="29" t="inlineStr"/>
      <c r="L294" s="28" t="inlineStr"/>
      <c r="M294" s="28" t="inlineStr"/>
      <c r="N294" s="28" t="inlineStr"/>
      <c r="O294" s="28" t="inlineStr"/>
    </row>
    <row r="295" ht="16" customHeight="1">
      <c r="A295" s="16" t="inlineStr">
        <is>
          <t>IT Infrastructure &amp; Cloud Operations Intern</t>
        </is>
      </c>
      <c r="B295" s="16" t="inlineStr">
        <is>
          <t>Sargent &amp; Lundy</t>
        </is>
      </c>
      <c r="C295" s="17" t="inlineStr">
        <is>
          <t>2026-03-11</t>
        </is>
      </c>
      <c r="D295" s="47" t="n">
        <v>9</v>
      </c>
      <c r="E295" s="17" t="inlineStr">
        <is>
          <t>IL</t>
        </is>
      </c>
      <c r="F295" s="40" t="n">
        <v>6</v>
      </c>
      <c r="G295" s="17" t="inlineStr">
        <is>
          <t>AlmondCroffle</t>
        </is>
      </c>
      <c r="H295" s="16" t="inlineStr">
        <is>
          <t>Chicago, IL</t>
        </is>
      </c>
      <c r="I295" s="18">
        <f>HYPERLINK("https://careers-sargentlundy.icims.com/jobs/22878/it-infrastructure-%26-cloud-operations-intern-%28summer-2026%29/job","↗")</f>
        <v/>
      </c>
      <c r="J295" s="17" t="inlineStr">
        <is>
          <t>No</t>
        </is>
      </c>
      <c r="K295" s="17" t="inlineStr"/>
      <c r="L295" s="16" t="inlineStr"/>
      <c r="M295" s="16" t="inlineStr"/>
      <c r="N295" s="16" t="inlineStr"/>
      <c r="O295" s="16" t="inlineStr"/>
    </row>
    <row r="296" ht="16" customHeight="1">
      <c r="A296" s="8" t="inlineStr">
        <is>
          <t>Front-End Developer Intern</t>
        </is>
      </c>
      <c r="B296" s="8" t="inlineStr">
        <is>
          <t>Trainerize</t>
        </is>
      </c>
      <c r="C296" s="9" t="inlineStr">
        <is>
          <t>2026-03-11</t>
        </is>
      </c>
      <c r="D296" s="48" t="n">
        <v>9</v>
      </c>
      <c r="E296" s="9" t="inlineStr">
        <is>
          <t>Remote</t>
        </is>
      </c>
      <c r="F296" s="11" t="n">
        <v>4</v>
      </c>
      <c r="G296" s="9" t="inlineStr">
        <is>
          <t>AlmondCroffle</t>
        </is>
      </c>
      <c r="H296" s="8" t="inlineStr">
        <is>
          <t>Remote in US</t>
        </is>
      </c>
      <c r="I296" s="10">
        <f>HYPERLINK("https://abcfinancial.wd5.myworkdayjobs.com/en-US/abcfinancialservices/job/Remote-United-States/Front-End-Developer-Intern_REQ-1178","↗")</f>
        <v/>
      </c>
      <c r="J296" s="9" t="inlineStr">
        <is>
          <t>No</t>
        </is>
      </c>
      <c r="K296" s="9" t="inlineStr"/>
      <c r="L296" s="8" t="inlineStr"/>
      <c r="M296" s="8" t="inlineStr"/>
      <c r="N296" s="8" t="inlineStr"/>
      <c r="O296" s="8" t="inlineStr"/>
    </row>
    <row r="297" ht="16" customHeight="1">
      <c r="A297" s="2" t="inlineStr">
        <is>
          <t>AI Developer Intern</t>
        </is>
      </c>
      <c r="B297" s="2" t="inlineStr">
        <is>
          <t>Monolithic Power Systems</t>
        </is>
      </c>
      <c r="C297" s="3" t="inlineStr">
        <is>
          <t>2026-03-11</t>
        </is>
      </c>
      <c r="D297" s="44" t="n">
        <v>9</v>
      </c>
      <c r="E297" s="3" t="inlineStr">
        <is>
          <t>CA</t>
        </is>
      </c>
      <c r="F297" s="7" t="n">
        <v>9</v>
      </c>
      <c r="G297" s="3" t="inlineStr">
        <is>
          <t>Simplify</t>
        </is>
      </c>
      <c r="H297" s="2" t="inlineStr">
        <is>
          <t>San Jose, CA</t>
        </is>
      </c>
      <c r="I297" s="5">
        <f>HYPERLINK("https://monolithicpower.wd12.myworkdayjobs.com/MPS_Careers/job/San-Jose---California/AI-Developer-Intern_R-674","↗")</f>
        <v/>
      </c>
      <c r="J297" s="3" t="inlineStr">
        <is>
          <t>No</t>
        </is>
      </c>
      <c r="K297" s="3" t="inlineStr"/>
      <c r="L297" s="2" t="inlineStr"/>
      <c r="M297" s="2" t="inlineStr"/>
      <c r="N297" s="2" t="inlineStr"/>
      <c r="O297" s="2" t="inlineStr"/>
    </row>
    <row r="298" ht="16" customHeight="1">
      <c r="A298" s="2" t="inlineStr">
        <is>
          <t>Application Engineer Intern</t>
        </is>
      </c>
      <c r="B298" s="2" t="inlineStr">
        <is>
          <t>Monolithic Power Systems</t>
        </is>
      </c>
      <c r="C298" s="3" t="inlineStr">
        <is>
          <t>2026-03-11</t>
        </is>
      </c>
      <c r="D298" s="44" t="n">
        <v>9</v>
      </c>
      <c r="E298" s="3" t="inlineStr">
        <is>
          <t>CA</t>
        </is>
      </c>
      <c r="F298" s="4" t="n">
        <v>5</v>
      </c>
      <c r="G298" s="3" t="inlineStr">
        <is>
          <t>Simplify</t>
        </is>
      </c>
      <c r="H298" s="2" t="inlineStr">
        <is>
          <t>San Jose, CA</t>
        </is>
      </c>
      <c r="I298" s="5">
        <f>HYPERLINK("https://monolithicpower.wd12.myworkdayjobs.com/MPS_Careers/job/San-Jose-CA/Application-Engineer-Intern_R-890","↗")</f>
        <v/>
      </c>
      <c r="J298" s="3" t="inlineStr">
        <is>
          <t>No</t>
        </is>
      </c>
      <c r="K298" s="3" t="inlineStr"/>
      <c r="L298" s="2" t="inlineStr"/>
      <c r="M298" s="2" t="inlineStr"/>
      <c r="N298" s="2" t="inlineStr"/>
      <c r="O298" s="2" t="inlineStr"/>
    </row>
    <row r="299" ht="16" customHeight="1">
      <c r="A299" s="2" t="inlineStr">
        <is>
          <t>IT System Software Intern</t>
        </is>
      </c>
      <c r="B299" s="2" t="inlineStr">
        <is>
          <t>Monolithic Power Systems</t>
        </is>
      </c>
      <c r="C299" s="3" t="inlineStr">
        <is>
          <t>2026-03-11</t>
        </is>
      </c>
      <c r="D299" s="44" t="n">
        <v>9</v>
      </c>
      <c r="E299" s="3" t="inlineStr">
        <is>
          <t>CA</t>
        </is>
      </c>
      <c r="F299" s="7" t="n">
        <v>8</v>
      </c>
      <c r="G299" s="3" t="inlineStr">
        <is>
          <t>Simplify</t>
        </is>
      </c>
      <c r="H299" s="2" t="inlineStr">
        <is>
          <t>San Jose, CA</t>
        </is>
      </c>
      <c r="I299" s="5">
        <f>HYPERLINK("https://monolithicpower.wd12.myworkdayjobs.com/MPS_Careers/job/San-Jose-CA/IT-System-Software-Intern_R-1089","↗")</f>
        <v/>
      </c>
      <c r="J299" s="3" t="inlineStr">
        <is>
          <t>No</t>
        </is>
      </c>
      <c r="K299" s="3" t="inlineStr"/>
      <c r="L299" s="2" t="inlineStr"/>
      <c r="M299" s="2" t="inlineStr"/>
      <c r="N299" s="2" t="inlineStr"/>
      <c r="O299" s="2" t="inlineStr"/>
    </row>
    <row r="300" ht="16" customHeight="1">
      <c r="A300" s="2" t="inlineStr">
        <is>
          <t>Software Developer Intern</t>
        </is>
      </c>
      <c r="B300" s="2" t="inlineStr">
        <is>
          <t>Parsons</t>
        </is>
      </c>
      <c r="C300" s="3" t="inlineStr">
        <is>
          <t>2026-03-10</t>
        </is>
      </c>
      <c r="D300" s="44" t="n">
        <v>10</v>
      </c>
      <c r="E300" s="3" t="inlineStr">
        <is>
          <t>VA</t>
        </is>
      </c>
      <c r="F300" s="4" t="n">
        <v>5</v>
      </c>
      <c r="G300" s="3" t="inlineStr">
        <is>
          <t>Simplify</t>
        </is>
      </c>
      <c r="H300" s="2" t="inlineStr">
        <is>
          <t>Centreville, VA</t>
        </is>
      </c>
      <c r="I300" s="5">
        <f>HYPERLINK("https://parsons.wd5.myworkdayjobs.com/en-US/search/job/US---VA-Centreville/Software-Developer-Intern---US-Citizenship-Required_R178372-1","↗")</f>
        <v/>
      </c>
      <c r="J300" s="3" t="inlineStr">
        <is>
          <t>No</t>
        </is>
      </c>
      <c r="K300" s="3" t="inlineStr"/>
      <c r="L300" s="2" t="inlineStr"/>
      <c r="M300" s="2" t="inlineStr"/>
      <c r="N300" s="2" t="inlineStr"/>
      <c r="O300" s="2" t="inlineStr"/>
    </row>
    <row r="301" ht="16" customHeight="1">
      <c r="A301" s="8" t="inlineStr">
        <is>
          <t>Global RIM Analytics Intern</t>
        </is>
      </c>
      <c r="B301" s="8" t="inlineStr">
        <is>
          <t>Iron Mountain</t>
        </is>
      </c>
      <c r="C301" s="9" t="inlineStr">
        <is>
          <t>2026-03-10</t>
        </is>
      </c>
      <c r="D301" s="48" t="n">
        <v>10</v>
      </c>
      <c r="E301" s="9" t="inlineStr">
        <is>
          <t>Remote</t>
        </is>
      </c>
      <c r="F301" s="11" t="n">
        <v>4</v>
      </c>
      <c r="G301" s="9" t="inlineStr">
        <is>
          <t>Simplify</t>
        </is>
      </c>
      <c r="H301" s="8" t="inlineStr">
        <is>
          <t>Boston, MA, Remote in USA, Mississippi</t>
        </is>
      </c>
      <c r="I301" s="10">
        <f>HYPERLINK("https://ironmountain.wd5.myworkdayjobs.com/iron-mountain-jobs/job/US--MS--Remote/Summer-2026-Global-RIM-Analytics-Intern_J0099226","↗")</f>
        <v/>
      </c>
      <c r="J301" s="9" t="inlineStr">
        <is>
          <t>No</t>
        </is>
      </c>
      <c r="K301" s="9" t="inlineStr"/>
      <c r="L301" s="8" t="inlineStr"/>
      <c r="M301" s="8" t="inlineStr"/>
      <c r="N301" s="8" t="inlineStr"/>
      <c r="O301" s="8" t="inlineStr"/>
    </row>
    <row r="302" ht="16" customHeight="1">
      <c r="A302" s="2" t="inlineStr">
        <is>
          <t>LLM/ML Intern</t>
        </is>
      </c>
      <c r="B302" s="2" t="inlineStr">
        <is>
          <t>Cadence Design Systems</t>
        </is>
      </c>
      <c r="C302" s="3" t="inlineStr">
        <is>
          <t>2026-03-10</t>
        </is>
      </c>
      <c r="D302" s="44" t="n">
        <v>10</v>
      </c>
      <c r="E302" s="3" t="inlineStr">
        <is>
          <t>CA</t>
        </is>
      </c>
      <c r="F302" s="4" t="n">
        <v>6</v>
      </c>
      <c r="G302" s="3" t="inlineStr">
        <is>
          <t>Simplify</t>
        </is>
      </c>
      <c r="H302" s="2" t="inlineStr">
        <is>
          <t>San Jose, CA</t>
        </is>
      </c>
      <c r="I302" s="5">
        <f>HYPERLINK("https://cadence.wd1.myworkdayjobs.com/University_Talent_Intern/job/SAN-JOSE/LLM-ML-Intern--PhD--Summer-2026-_R53409","↗")</f>
        <v/>
      </c>
      <c r="J302" s="3" t="inlineStr">
        <is>
          <t>No</t>
        </is>
      </c>
      <c r="K302" s="3" t="inlineStr"/>
      <c r="L302" s="2" t="inlineStr"/>
      <c r="M302" s="2" t="inlineStr"/>
      <c r="N302" s="2" t="inlineStr"/>
      <c r="O302" s="2" t="inlineStr"/>
    </row>
    <row r="303" ht="16" customHeight="1">
      <c r="A303" s="2" t="inlineStr">
        <is>
          <t>Intern – Facility Operations Business &amp; Data Analysis</t>
        </is>
      </c>
      <c r="B303" s="2" t="inlineStr">
        <is>
          <t>Sony Pictures Entertainment</t>
        </is>
      </c>
      <c r="C303" s="3" t="inlineStr">
        <is>
          <t>2026-03-10</t>
        </is>
      </c>
      <c r="D303" s="44" t="n">
        <v>10</v>
      </c>
      <c r="E303" s="3" t="inlineStr">
        <is>
          <t>CA</t>
        </is>
      </c>
      <c r="F303" s="4" t="n">
        <v>4</v>
      </c>
      <c r="G303" s="3" t="inlineStr">
        <is>
          <t>Simplify</t>
        </is>
      </c>
      <c r="H303" s="2" t="inlineStr">
        <is>
          <t>Culver City, CA</t>
        </is>
      </c>
      <c r="I303" s="5">
        <f>HYPERLINK("https://spe.wd1.myworkdayjobs.com/en-US/SonyPicturesEntertainment/job/Culver-City-California/Intern--Facility-Operations-Business---Data-Analysis---Summer-2026_JR111719-2","↗")</f>
        <v/>
      </c>
      <c r="J303" s="3" t="inlineStr">
        <is>
          <t>No</t>
        </is>
      </c>
      <c r="K303" s="3" t="inlineStr"/>
      <c r="L303" s="2" t="inlineStr"/>
      <c r="M303" s="2" t="inlineStr"/>
      <c r="N303" s="2" t="inlineStr"/>
      <c r="O303" s="2" t="inlineStr"/>
    </row>
    <row r="304" ht="16" customHeight="1">
      <c r="A304" s="8" t="inlineStr">
        <is>
          <t>Health Informatics Intern</t>
        </is>
      </c>
      <c r="B304" s="8" t="inlineStr">
        <is>
          <t>Harris Computer</t>
        </is>
      </c>
      <c r="C304" s="9" t="inlineStr">
        <is>
          <t>2026-03-10</t>
        </is>
      </c>
      <c r="D304" s="48" t="n">
        <v>10</v>
      </c>
      <c r="E304" s="9" t="inlineStr">
        <is>
          <t>Remote</t>
        </is>
      </c>
      <c r="F304" s="11" t="n">
        <v>6</v>
      </c>
      <c r="G304" s="9" t="inlineStr">
        <is>
          <t>Simplify</t>
        </is>
      </c>
      <c r="H304" s="8" t="inlineStr">
        <is>
          <t>Remote in Canada</t>
        </is>
      </c>
      <c r="I304" s="10">
        <f>HYPERLINK("https://harriscomputer.wd3.myworkdayjobs.com/1/job/Remote---Saskatchewan/Intern_R0040214","↗")</f>
        <v/>
      </c>
      <c r="J304" s="9" t="inlineStr">
        <is>
          <t>No</t>
        </is>
      </c>
      <c r="K304" s="9" t="inlineStr"/>
      <c r="L304" s="8" t="inlineStr"/>
      <c r="M304" s="8" t="inlineStr"/>
      <c r="N304" s="8" t="inlineStr"/>
      <c r="O304" s="8" t="inlineStr"/>
    </row>
    <row r="305" ht="16" customHeight="1">
      <c r="A305" s="22" t="inlineStr">
        <is>
          <t>Data Reporting and Analytics Master's Intern</t>
        </is>
      </c>
      <c r="B305" s="22" t="inlineStr">
        <is>
          <t>Kaiser Permanente</t>
        </is>
      </c>
      <c r="C305" s="23" t="inlineStr">
        <is>
          <t>2026-03-10</t>
        </is>
      </c>
      <c r="D305" s="49" t="n">
        <v>10</v>
      </c>
      <c r="E305" s="23" t="inlineStr">
        <is>
          <t>PA</t>
        </is>
      </c>
      <c r="F305" s="24" t="n">
        <v>4</v>
      </c>
      <c r="G305" s="23" t="inlineStr">
        <is>
          <t>Simplify</t>
        </is>
      </c>
      <c r="H305" s="22" t="inlineStr">
        <is>
          <t>Pasadena, CA</t>
        </is>
      </c>
      <c r="I305" s="25">
        <f>HYPERLINK("https://kp.taleo.net/careersection/external/jobdetail.ftl?job=1412664","↗")</f>
        <v/>
      </c>
      <c r="J305" s="23" t="inlineStr">
        <is>
          <t>No</t>
        </is>
      </c>
      <c r="K305" s="23" t="inlineStr"/>
      <c r="L305" s="22" t="inlineStr"/>
      <c r="M305" s="22" t="inlineStr"/>
      <c r="N305" s="22" t="inlineStr"/>
      <c r="O305" s="22" t="inlineStr"/>
    </row>
    <row r="306" ht="16" customHeight="1">
      <c r="A306" s="2" t="inlineStr">
        <is>
          <t>Software Developer Bachelor's Intern</t>
        </is>
      </c>
      <c r="B306" s="2" t="inlineStr">
        <is>
          <t>Kaiser Permanente</t>
        </is>
      </c>
      <c r="C306" s="3" t="inlineStr">
        <is>
          <t>2026-03-10</t>
        </is>
      </c>
      <c r="D306" s="44" t="n">
        <v>10</v>
      </c>
      <c r="E306" s="3" t="inlineStr">
        <is>
          <t>CA</t>
        </is>
      </c>
      <c r="F306" s="4" t="n">
        <v>7</v>
      </c>
      <c r="G306" s="3" t="inlineStr">
        <is>
          <t>Simplify</t>
        </is>
      </c>
      <c r="H306" s="2" t="inlineStr">
        <is>
          <t>Pleasanton, CA</t>
        </is>
      </c>
      <c r="I306" s="5">
        <f>HYPERLINK("https://kp.taleo.net/careersection/external/jobdetail.ftl?job=1411792","↗")</f>
        <v/>
      </c>
      <c r="J306" s="3" t="inlineStr">
        <is>
          <t>No</t>
        </is>
      </c>
      <c r="K306" s="3" t="inlineStr"/>
      <c r="L306" s="2" t="inlineStr"/>
      <c r="M306" s="2" t="inlineStr"/>
      <c r="N306" s="2" t="inlineStr"/>
      <c r="O306" s="2" t="inlineStr"/>
    </row>
    <row r="307" ht="16" customHeight="1">
      <c r="A307" s="2" t="inlineStr">
        <is>
          <t>Software Engineering Co-Op</t>
        </is>
      </c>
      <c r="B307" s="2" t="inlineStr">
        <is>
          <t>Johnson &amp; Johnson</t>
        </is>
      </c>
      <c r="C307" s="3" t="inlineStr">
        <is>
          <t>2026-03-10</t>
        </is>
      </c>
      <c r="D307" s="44" t="n">
        <v>10</v>
      </c>
      <c r="E307" s="3" t="inlineStr">
        <is>
          <t>MA</t>
        </is>
      </c>
      <c r="F307" s="7" t="n">
        <v>11</v>
      </c>
      <c r="G307" s="3" t="inlineStr">
        <is>
          <t>Simplify</t>
        </is>
      </c>
      <c r="H307" s="2" t="inlineStr">
        <is>
          <t>Peabody, MA</t>
        </is>
      </c>
      <c r="I307" s="5">
        <f>HYPERLINK("https://jj.wd5.myworkdayjobs.com/JJ/job/Danvers-Massachusetts-United-States-of-America/Software-Engineering-Co-Op---Fall-2026_R-062573","↗")</f>
        <v/>
      </c>
      <c r="J307" s="3" t="inlineStr">
        <is>
          <t>No</t>
        </is>
      </c>
      <c r="K307" s="3" t="inlineStr"/>
      <c r="L307" s="2" t="inlineStr"/>
      <c r="M307" s="2" t="inlineStr"/>
      <c r="N307" s="2" t="inlineStr"/>
      <c r="O307" s="2" t="inlineStr"/>
    </row>
    <row r="308" ht="16" customHeight="1">
      <c r="A308" s="28" t="inlineStr">
        <is>
          <t>System and Firmware Engineer Intern</t>
        </is>
      </c>
      <c r="B308" s="28" t="inlineStr">
        <is>
          <t>Analog Devices</t>
        </is>
      </c>
      <c r="C308" s="29" t="inlineStr">
        <is>
          <t>2026-03-10</t>
        </is>
      </c>
      <c r="D308" s="50" t="n">
        <v>10</v>
      </c>
      <c r="E308" s="29" t="inlineStr">
        <is>
          <t>NJ</t>
        </is>
      </c>
      <c r="F308" s="30" t="n">
        <v>7</v>
      </c>
      <c r="G308" s="29" t="inlineStr">
        <is>
          <t>Simplify</t>
        </is>
      </c>
      <c r="H308" s="28" t="inlineStr">
        <is>
          <t>Somerset County, NJ</t>
        </is>
      </c>
      <c r="I308" s="31">
        <f>HYPERLINK("https://analogdevices.wd1.myworkdayjobs.com/External/job/US-NJ-Somerset/System-and-Firmware-Engineer-Intern_R258554","↗")</f>
        <v/>
      </c>
      <c r="J308" s="29" t="inlineStr">
        <is>
          <t>No</t>
        </is>
      </c>
      <c r="K308" s="29" t="inlineStr"/>
      <c r="L308" s="28" t="inlineStr"/>
      <c r="M308" s="28" t="inlineStr"/>
      <c r="N308" s="28" t="inlineStr"/>
      <c r="O308" s="28" t="inlineStr"/>
    </row>
    <row r="309" ht="16" customHeight="1">
      <c r="A309" s="8" t="inlineStr">
        <is>
          <t>Data Analyst Intern - Software Operations and Delivery</t>
        </is>
      </c>
      <c r="B309" s="8" t="inlineStr">
        <is>
          <t>Cambium Learning Group</t>
        </is>
      </c>
      <c r="C309" s="9" t="inlineStr">
        <is>
          <t>2026-03-10</t>
        </is>
      </c>
      <c r="D309" s="48" t="n">
        <v>10</v>
      </c>
      <c r="E309" s="9" t="inlineStr">
        <is>
          <t>Remote</t>
        </is>
      </c>
      <c r="F309" s="11" t="n">
        <v>5</v>
      </c>
      <c r="G309" s="9" t="inlineStr">
        <is>
          <t>Simplify</t>
        </is>
      </c>
      <c r="H309" s="8" t="inlineStr">
        <is>
          <t>Remote in USA</t>
        </is>
      </c>
      <c r="I309" s="10">
        <f>HYPERLINK("https://cambiumlearning.wd1.myworkdayjobs.com/camb/job/Remote/Data-Analyst-Intern---Software-Operations-and-Delivery_REQ-4394","↗")</f>
        <v/>
      </c>
      <c r="J309" s="9" t="inlineStr">
        <is>
          <t>No</t>
        </is>
      </c>
      <c r="K309" s="9" t="inlineStr"/>
      <c r="L309" s="8" t="inlineStr"/>
      <c r="M309" s="8" t="inlineStr"/>
      <c r="N309" s="8" t="inlineStr"/>
      <c r="O309" s="8" t="inlineStr"/>
    </row>
    <row r="310" ht="16" customHeight="1">
      <c r="A310" s="2" t="inlineStr">
        <is>
          <t>Software Development Engineer – Intern - AI</t>
        </is>
      </c>
      <c r="B310" s="2" t="inlineStr">
        <is>
          <t>F5</t>
        </is>
      </c>
      <c r="C310" s="3" t="inlineStr">
        <is>
          <t>2026-03-10</t>
        </is>
      </c>
      <c r="D310" s="44" t="n">
        <v>10</v>
      </c>
      <c r="E310" s="3" t="inlineStr">
        <is>
          <t>CA</t>
        </is>
      </c>
      <c r="F310" s="4" t="n">
        <v>5</v>
      </c>
      <c r="G310" s="3" t="inlineStr">
        <is>
          <t>Simplify</t>
        </is>
      </c>
      <c r="H310" s="2" t="inlineStr">
        <is>
          <t>Seattle, WA, San Jose, CA</t>
        </is>
      </c>
      <c r="I310" s="5">
        <f>HYPERLINK("https://ffive.wd5.myworkdayjobs.com/en-US/f5jobs/job/Seattle/Software-Development-Engineer--AI--Intern_RP1036891","↗")</f>
        <v/>
      </c>
      <c r="J310" s="3" t="inlineStr">
        <is>
          <t>No</t>
        </is>
      </c>
      <c r="K310" s="3" t="inlineStr"/>
      <c r="L310" s="2" t="inlineStr"/>
      <c r="M310" s="2" t="inlineStr"/>
      <c r="N310" s="2" t="inlineStr"/>
      <c r="O310" s="2" t="inlineStr"/>
    </row>
    <row r="311" ht="16" customHeight="1">
      <c r="A311" s="2" t="inlineStr">
        <is>
          <t>Software Engineer Intern</t>
        </is>
      </c>
      <c r="B311" s="2" t="inlineStr">
        <is>
          <t>Otis</t>
        </is>
      </c>
      <c r="C311" s="3" t="inlineStr">
        <is>
          <t>2026-03-10</t>
        </is>
      </c>
      <c r="D311" s="44" t="n">
        <v>10</v>
      </c>
      <c r="E311" s="3" t="inlineStr">
        <is>
          <t>CT</t>
        </is>
      </c>
      <c r="F311" s="4" t="n">
        <v>7</v>
      </c>
      <c r="G311" s="3" t="inlineStr">
        <is>
          <t>Simplify</t>
        </is>
      </c>
      <c r="H311" s="2" t="inlineStr">
        <is>
          <t>Farmington, CT</t>
        </is>
      </c>
      <c r="I311" s="5">
        <f>HYPERLINK("https://otis.wd5.myworkdayjobs.com/en-US/REC_Ext_Gateway/job/OT494-5FS---Farmington-CT-5-Farm-Springs-Farmington-CT-06032-USA/Software-Engineering-Intern_20154620","↗")</f>
        <v/>
      </c>
      <c r="J311" s="3" t="inlineStr">
        <is>
          <t>No</t>
        </is>
      </c>
      <c r="K311" s="3" t="inlineStr"/>
      <c r="L311" s="2" t="inlineStr"/>
      <c r="M311" s="2" t="inlineStr"/>
      <c r="N311" s="2" t="inlineStr"/>
      <c r="O311" s="2" t="inlineStr"/>
    </row>
    <row r="312" ht="16" customHeight="1">
      <c r="A312" s="2" t="inlineStr">
        <is>
          <t>Software Development Engineer Intern - AI</t>
        </is>
      </c>
      <c r="B312" s="2" t="inlineStr">
        <is>
          <t>F5</t>
        </is>
      </c>
      <c r="C312" s="3" t="inlineStr">
        <is>
          <t>2026-03-10</t>
        </is>
      </c>
      <c r="D312" s="44" t="n">
        <v>10</v>
      </c>
      <c r="E312" s="3" t="inlineStr">
        <is>
          <t>WA</t>
        </is>
      </c>
      <c r="F312" s="4" t="n">
        <v>5</v>
      </c>
      <c r="G312" s="3" t="inlineStr">
        <is>
          <t>Simplify</t>
        </is>
      </c>
      <c r="H312" s="2" t="inlineStr">
        <is>
          <t>Seattle, WA</t>
        </is>
      </c>
      <c r="I312" s="5">
        <f>HYPERLINK("https://ffive.wd5.myworkdayjobs.com/en-US/f5jobs/job/Seattle/Software-Development-Engineer--AI--Intern_RP1036893","↗")</f>
        <v/>
      </c>
      <c r="J312" s="3" t="inlineStr">
        <is>
          <t>No</t>
        </is>
      </c>
      <c r="K312" s="3" t="inlineStr"/>
      <c r="L312" s="2" t="inlineStr"/>
      <c r="M312" s="2" t="inlineStr"/>
      <c r="N312" s="2" t="inlineStr"/>
      <c r="O312" s="2" t="inlineStr"/>
    </row>
    <row r="313" ht="16" customHeight="1">
      <c r="A313" s="2" t="inlineStr">
        <is>
          <t>Software Engineering Intern</t>
        </is>
      </c>
      <c r="B313" s="2" t="inlineStr">
        <is>
          <t>Udemy</t>
        </is>
      </c>
      <c r="C313" s="3" t="inlineStr">
        <is>
          <t>2026-03-10</t>
        </is>
      </c>
      <c r="D313" s="44" t="n">
        <v>10</v>
      </c>
      <c r="E313" s="3" t="inlineStr">
        <is>
          <t>TX</t>
        </is>
      </c>
      <c r="F313" s="7" t="n">
        <v>11</v>
      </c>
      <c r="G313" s="3" t="inlineStr">
        <is>
          <t>Simplify</t>
        </is>
      </c>
      <c r="H313" s="2" t="inlineStr">
        <is>
          <t>Austin, TX</t>
        </is>
      </c>
      <c r="I313" s="5">
        <f>HYPERLINK("https://app.careerpuck.com/job-board/udemy/job/5809832004?gh_jid=5809832004","↗")</f>
        <v/>
      </c>
      <c r="J313" s="3" t="inlineStr">
        <is>
          <t>No</t>
        </is>
      </c>
      <c r="K313" s="3" t="inlineStr"/>
      <c r="L313" s="2" t="inlineStr"/>
      <c r="M313" s="2" t="inlineStr"/>
      <c r="N313" s="2" t="inlineStr"/>
      <c r="O313" s="2" t="inlineStr"/>
    </row>
    <row r="314" ht="16" customHeight="1">
      <c r="A314" s="28" t="inlineStr">
        <is>
          <t>Product Management Intern</t>
        </is>
      </c>
      <c r="B314" s="28" t="inlineStr">
        <is>
          <t>LG Electronics</t>
        </is>
      </c>
      <c r="C314" s="29" t="inlineStr">
        <is>
          <t>2026-03-10</t>
        </is>
      </c>
      <c r="D314" s="50" t="n">
        <v>10</v>
      </c>
      <c r="E314" s="29" t="inlineStr">
        <is>
          <t>NJ</t>
        </is>
      </c>
      <c r="F314" s="30" t="n">
        <v>5</v>
      </c>
      <c r="G314" s="29" t="inlineStr">
        <is>
          <t>Simplify</t>
        </is>
      </c>
      <c r="H314" s="28" t="inlineStr">
        <is>
          <t>Englewood, NJ</t>
        </is>
      </c>
      <c r="I314" s="31">
        <f>HYPERLINK("https://job-boards.greenhouse.io/lgelectronics/jobs/5148940008","↗")</f>
        <v/>
      </c>
      <c r="J314" s="29" t="inlineStr">
        <is>
          <t>No</t>
        </is>
      </c>
      <c r="K314" s="29" t="inlineStr"/>
      <c r="L314" s="28" t="inlineStr"/>
      <c r="M314" s="28" t="inlineStr"/>
      <c r="N314" s="28" t="inlineStr"/>
      <c r="O314" s="28" t="inlineStr"/>
    </row>
    <row r="315" ht="16" customHeight="1">
      <c r="A315" s="2" t="inlineStr">
        <is>
          <t>Intern Business Systems</t>
        </is>
      </c>
      <c r="B315" s="2" t="inlineStr">
        <is>
          <t>Sony Pictures Entertainment</t>
        </is>
      </c>
      <c r="C315" s="3" t="inlineStr">
        <is>
          <t>2026-03-10</t>
        </is>
      </c>
      <c r="D315" s="44" t="n">
        <v>10</v>
      </c>
      <c r="E315" s="3" t="inlineStr">
        <is>
          <t>CA</t>
        </is>
      </c>
      <c r="F315" s="4" t="n">
        <v>4</v>
      </c>
      <c r="G315" s="3" t="inlineStr">
        <is>
          <t>Simplify</t>
        </is>
      </c>
      <c r="H315" s="2" t="inlineStr">
        <is>
          <t>Culver City, CA</t>
        </is>
      </c>
      <c r="I315" s="5">
        <f>HYPERLINK("https://spe.wd1.myworkdayjobs.com/en-US/SonyPicturesEntertainment/job/Culver-City-California/Intern--Business-Systems--US-TV-Production---Summer-2026_JR111688","↗")</f>
        <v/>
      </c>
      <c r="J315" s="3" t="inlineStr">
        <is>
          <t>No</t>
        </is>
      </c>
      <c r="K315" s="3" t="inlineStr"/>
      <c r="L315" s="2" t="inlineStr"/>
      <c r="M315" s="2" t="inlineStr"/>
      <c r="N315" s="2" t="inlineStr"/>
      <c r="O315" s="2" t="inlineStr"/>
    </row>
    <row r="316" ht="16" customHeight="1">
      <c r="A316" s="2" t="inlineStr">
        <is>
          <t>Intern Software Engineer</t>
        </is>
      </c>
      <c r="B316" s="2" t="inlineStr">
        <is>
          <t>Hayden AI</t>
        </is>
      </c>
      <c r="C316" s="3" t="inlineStr">
        <is>
          <t>2026-03-10</t>
        </is>
      </c>
      <c r="D316" s="44" t="n">
        <v>10</v>
      </c>
      <c r="E316" s="3" t="inlineStr"/>
      <c r="F316" s="7" t="n">
        <v>9</v>
      </c>
      <c r="G316" s="3" t="inlineStr">
        <is>
          <t>Simplify</t>
        </is>
      </c>
      <c r="H316" s="2" t="inlineStr">
        <is>
          <t>SF</t>
        </is>
      </c>
      <c r="I316" s="5">
        <f>HYPERLINK("https://jobs.ashbyhq.com/haydenai/b577f0a4-d5c7-450d-b302-5b7b9946c020/application","↗")</f>
        <v/>
      </c>
      <c r="J316" s="3" t="inlineStr">
        <is>
          <t>No</t>
        </is>
      </c>
      <c r="K316" s="3" t="inlineStr"/>
      <c r="L316" s="2" t="inlineStr"/>
      <c r="M316" s="2" t="inlineStr"/>
      <c r="N316" s="2" t="inlineStr"/>
      <c r="O316" s="2" t="inlineStr"/>
    </row>
    <row r="317" ht="16" customHeight="1">
      <c r="A317" s="22" t="inlineStr">
        <is>
          <t>Software Engineering Intern</t>
        </is>
      </c>
      <c r="B317" s="22" t="inlineStr">
        <is>
          <t>T-Mobile</t>
        </is>
      </c>
      <c r="C317" s="23" t="inlineStr">
        <is>
          <t>2026-03-10</t>
        </is>
      </c>
      <c r="D317" s="49" t="n">
        <v>10</v>
      </c>
      <c r="E317" s="23" t="inlineStr">
        <is>
          <t>PA</t>
        </is>
      </c>
      <c r="F317" s="7" t="n">
        <v>11</v>
      </c>
      <c r="G317" s="23" t="inlineStr">
        <is>
          <t>Simplify</t>
        </is>
      </c>
      <c r="H317" s="22" t="inlineStr">
        <is>
          <t>Overland Park, KS</t>
        </is>
      </c>
      <c r="I317" s="25">
        <f>HYPERLINK("https://tmobile.wd1.myworkdayjobs.com/External/job/Overland-Park-Kansas/Summer-2026-Software-Engineering-Internship_REQ346602","↗")</f>
        <v/>
      </c>
      <c r="J317" s="23" t="inlineStr">
        <is>
          <t>No</t>
        </is>
      </c>
      <c r="K317" s="23" t="inlineStr"/>
      <c r="L317" s="22" t="inlineStr"/>
      <c r="M317" s="22" t="inlineStr"/>
      <c r="N317" s="22" t="inlineStr"/>
      <c r="O317" s="22" t="inlineStr"/>
    </row>
    <row r="318" ht="16" customHeight="1">
      <c r="A318" s="22" t="inlineStr">
        <is>
          <t>Firmware Engineering Intern/Co-op</t>
        </is>
      </c>
      <c r="B318" s="22" t="inlineStr">
        <is>
          <t>Teleo</t>
        </is>
      </c>
      <c r="C318" s="23" t="inlineStr">
        <is>
          <t>2026-03-10</t>
        </is>
      </c>
      <c r="D318" s="49" t="n">
        <v>10</v>
      </c>
      <c r="E318" s="23" t="inlineStr">
        <is>
          <t>PA</t>
        </is>
      </c>
      <c r="F318" s="24" t="n">
        <v>5</v>
      </c>
      <c r="G318" s="23" t="inlineStr">
        <is>
          <t>Simplify</t>
        </is>
      </c>
      <c r="H318" s="22" t="inlineStr">
        <is>
          <t>Palo Alto, CA</t>
        </is>
      </c>
      <c r="I318" s="25">
        <f>HYPERLINK("https://jobs.lever.co/teleo/63fe96ee-74dc-41eb-80bc-6f80133c9ffa/apply","↗")</f>
        <v/>
      </c>
      <c r="J318" s="23" t="inlineStr">
        <is>
          <t>No</t>
        </is>
      </c>
      <c r="K318" s="23" t="inlineStr"/>
      <c r="L318" s="22" t="inlineStr"/>
      <c r="M318" s="22" t="inlineStr"/>
      <c r="N318" s="22" t="inlineStr"/>
      <c r="O318" s="22" t="inlineStr"/>
    </row>
    <row r="319" ht="16" customHeight="1">
      <c r="A319" s="2" t="inlineStr">
        <is>
          <t>Software Engineering Intern - Multiple Teams</t>
        </is>
      </c>
      <c r="B319" s="2" t="inlineStr">
        <is>
          <t>Copart</t>
        </is>
      </c>
      <c r="C319" s="3" t="inlineStr">
        <is>
          <t>2026-03-10</t>
        </is>
      </c>
      <c r="D319" s="44" t="n">
        <v>10</v>
      </c>
      <c r="E319" s="3" t="inlineStr">
        <is>
          <t>TX</t>
        </is>
      </c>
      <c r="F319" s="7" t="n">
        <v>11</v>
      </c>
      <c r="G319" s="3" t="inlineStr">
        <is>
          <t>Simplify</t>
        </is>
      </c>
      <c r="H319" s="2" t="inlineStr">
        <is>
          <t>Dallas, TX</t>
        </is>
      </c>
      <c r="I319" s="5">
        <f>HYPERLINK("https://copart.wd12.myworkdayjobs.com/copart/job/Dallas-TX---Headquarters/Software-Engineering-intern_JR107698","↗")</f>
        <v/>
      </c>
      <c r="J319" s="3" t="inlineStr">
        <is>
          <t>No</t>
        </is>
      </c>
      <c r="K319" s="3" t="inlineStr"/>
      <c r="L319" s="2" t="inlineStr"/>
      <c r="M319" s="2" t="inlineStr"/>
      <c r="N319" s="2" t="inlineStr"/>
      <c r="O319" s="2" t="inlineStr"/>
    </row>
    <row r="320" ht="16" customHeight="1">
      <c r="A320" s="2" t="inlineStr">
        <is>
          <t>Intern – Software Developer</t>
        </is>
      </c>
      <c r="B320" s="2" t="inlineStr">
        <is>
          <t>Autodesk</t>
        </is>
      </c>
      <c r="C320" s="3" t="inlineStr">
        <is>
          <t>2026-03-10</t>
        </is>
      </c>
      <c r="D320" s="44" t="n">
        <v>10</v>
      </c>
      <c r="E320" s="3" t="inlineStr">
        <is>
          <t>CA</t>
        </is>
      </c>
      <c r="F320" s="4" t="n">
        <v>5</v>
      </c>
      <c r="G320" s="3" t="inlineStr">
        <is>
          <t>Simplify</t>
        </is>
      </c>
      <c r="H320" s="2" t="inlineStr">
        <is>
          <t>Montreal, QC, Canada</t>
        </is>
      </c>
      <c r="I320" s="5">
        <f>HYPERLINK("https://autodesk.wd1.myworkdayjobs.com/uni/job/Montreal-QC-CAN/Intern--Software-Developer_25WD92317","↗")</f>
        <v/>
      </c>
      <c r="J320" s="3" t="inlineStr">
        <is>
          <t>No</t>
        </is>
      </c>
      <c r="K320" s="3" t="inlineStr"/>
      <c r="L320" s="2" t="inlineStr"/>
      <c r="M320" s="2" t="inlineStr"/>
      <c r="N320" s="2" t="inlineStr"/>
      <c r="O320" s="2" t="inlineStr"/>
    </row>
    <row r="321" ht="16" customHeight="1">
      <c r="A321" s="2" t="inlineStr">
        <is>
          <t>Software Developer Intern</t>
        </is>
      </c>
      <c r="B321" s="2" t="inlineStr">
        <is>
          <t>Solink</t>
        </is>
      </c>
      <c r="C321" s="3" t="inlineStr">
        <is>
          <t>2026-03-10</t>
        </is>
      </c>
      <c r="D321" s="44" t="n">
        <v>10</v>
      </c>
      <c r="E321" s="3" t="inlineStr">
        <is>
          <t>CA</t>
        </is>
      </c>
      <c r="F321" s="4" t="n">
        <v>5</v>
      </c>
      <c r="G321" s="3" t="inlineStr">
        <is>
          <t>Simplify</t>
        </is>
      </c>
      <c r="H321" s="2" t="inlineStr">
        <is>
          <t>Ottawa, ON, Canada</t>
        </is>
      </c>
      <c r="I321" s="5">
        <f>HYPERLINK("https://jobs.ashbyhq.com/solink/506e5910-4e59-4464-b38d-341151fc71d1/application","↗")</f>
        <v/>
      </c>
      <c r="J321" s="3" t="inlineStr">
        <is>
          <t>No</t>
        </is>
      </c>
      <c r="K321" s="3" t="inlineStr"/>
      <c r="L321" s="2" t="inlineStr"/>
      <c r="M321" s="2" t="inlineStr"/>
      <c r="N321" s="2" t="inlineStr"/>
      <c r="O321" s="2" t="inlineStr"/>
    </row>
    <row r="322" ht="16" customHeight="1">
      <c r="A322" s="2" t="inlineStr">
        <is>
          <t>Intern Software Engineer</t>
        </is>
      </c>
      <c r="B322" s="2" t="inlineStr">
        <is>
          <t>Hayden AI</t>
        </is>
      </c>
      <c r="C322" s="3" t="inlineStr">
        <is>
          <t>2026-03-10</t>
        </is>
      </c>
      <c r="D322" s="44" t="n">
        <v>10</v>
      </c>
      <c r="E322" s="3" t="inlineStr"/>
      <c r="F322" s="7" t="n">
        <v>9</v>
      </c>
      <c r="G322" s="3" t="inlineStr">
        <is>
          <t>Simplify</t>
        </is>
      </c>
      <c r="H322" s="2" t="inlineStr">
        <is>
          <t>SF</t>
        </is>
      </c>
      <c r="I322" s="5">
        <f>HYPERLINK("https://jobs.ashbyhq.com/haydenai/0e567d78-e519-486c-9136-bc3eda60954d/application","↗")</f>
        <v/>
      </c>
      <c r="J322" s="3" t="inlineStr">
        <is>
          <t>No</t>
        </is>
      </c>
      <c r="K322" s="3" t="inlineStr"/>
      <c r="L322" s="2" t="inlineStr"/>
      <c r="M322" s="2" t="inlineStr"/>
      <c r="N322" s="2" t="inlineStr"/>
      <c r="O322" s="2" t="inlineStr"/>
    </row>
    <row r="323" ht="16" customHeight="1">
      <c r="A323" s="2" t="inlineStr">
        <is>
          <t>Intern - Software Engineering - Firmware</t>
        </is>
      </c>
      <c r="B323" s="2" t="inlineStr">
        <is>
          <t>Western Digital</t>
        </is>
      </c>
      <c r="C323" s="3" t="inlineStr">
        <is>
          <t>2026-03-10</t>
        </is>
      </c>
      <c r="D323" s="44" t="n">
        <v>10</v>
      </c>
      <c r="E323" s="3" t="inlineStr">
        <is>
          <t>CA</t>
        </is>
      </c>
      <c r="F323" s="6" t="n">
        <v>16</v>
      </c>
      <c r="G323" s="3" t="inlineStr">
        <is>
          <t>Simplify</t>
        </is>
      </c>
      <c r="H323" s="2" t="inlineStr">
        <is>
          <t>San Jose, CA</t>
        </is>
      </c>
      <c r="I323" s="5">
        <f>HYPERLINK("https://jobs.smartrecruiters.com/WesternDigital/744000113755157","↗")</f>
        <v/>
      </c>
      <c r="J323" s="3" t="inlineStr">
        <is>
          <t>No</t>
        </is>
      </c>
      <c r="K323" s="3" t="inlineStr"/>
      <c r="L323" s="2" t="inlineStr"/>
      <c r="M323" s="2" t="inlineStr"/>
      <c r="N323" s="2" t="inlineStr"/>
      <c r="O323" s="2" t="inlineStr"/>
    </row>
    <row r="324" ht="16" customHeight="1">
      <c r="A324" s="28" t="inlineStr">
        <is>
          <t>AI Agent Developer – Intern</t>
        </is>
      </c>
      <c r="B324" s="28" t="inlineStr">
        <is>
          <t xml:space="preserve">S&amp;P Global </t>
        </is>
      </c>
      <c r="C324" s="29" t="inlineStr">
        <is>
          <t>2026-03-10</t>
        </is>
      </c>
      <c r="D324" s="50" t="n">
        <v>10</v>
      </c>
      <c r="E324" s="29" t="inlineStr">
        <is>
          <t>NJ</t>
        </is>
      </c>
      <c r="F324" s="30" t="n">
        <v>4</v>
      </c>
      <c r="G324" s="29" t="inlineStr">
        <is>
          <t>Simplify</t>
        </is>
      </c>
      <c r="H324" s="28" t="inlineStr">
        <is>
          <t>Princeton, NJ</t>
        </is>
      </c>
      <c r="I324" s="31">
        <f>HYPERLINK("https://spgi.wd5.myworkdayjobs.com/en-US/SPGI_Careers/job/Princeton-NJ/AI-Agent-Developer--Summer-Intern_325750-1","↗")</f>
        <v/>
      </c>
      <c r="J324" s="29" t="inlineStr">
        <is>
          <t>No</t>
        </is>
      </c>
      <c r="K324" s="29" t="inlineStr"/>
      <c r="L324" s="28" t="inlineStr"/>
      <c r="M324" s="28" t="inlineStr"/>
      <c r="N324" s="28" t="inlineStr"/>
      <c r="O324" s="28" t="inlineStr"/>
    </row>
    <row r="325" ht="16" customHeight="1">
      <c r="A325" s="2" t="inlineStr">
        <is>
          <t>Software Programmer Intern</t>
        </is>
      </c>
      <c r="B325" s="2" t="inlineStr">
        <is>
          <t>Amentum</t>
        </is>
      </c>
      <c r="C325" s="3" t="inlineStr">
        <is>
          <t>2026-03-10</t>
        </is>
      </c>
      <c r="D325" s="44" t="n">
        <v>10</v>
      </c>
      <c r="E325" s="3" t="inlineStr">
        <is>
          <t>MI</t>
        </is>
      </c>
      <c r="F325" s="4" t="n">
        <v>5</v>
      </c>
      <c r="G325" s="3" t="inlineStr">
        <is>
          <t>Simplify</t>
        </is>
      </c>
      <c r="H325" s="2" t="inlineStr">
        <is>
          <t>Detroit, MI</t>
        </is>
      </c>
      <c r="I325" s="5">
        <f>HYPERLINK("https://pae.wd1.myworkdayjobs.com/en-US/amentum_careers/job/US-MI-Detroit/Software-Programmer-Intern_R0156070","↗")</f>
        <v/>
      </c>
      <c r="J325" s="3" t="inlineStr">
        <is>
          <t>No</t>
        </is>
      </c>
      <c r="K325" s="3" t="inlineStr"/>
      <c r="L325" s="2" t="inlineStr"/>
      <c r="M325" s="2" t="inlineStr"/>
      <c r="N325" s="2" t="inlineStr"/>
      <c r="O325" s="2" t="inlineStr"/>
    </row>
    <row r="326" ht="16" customHeight="1">
      <c r="A326" s="2" t="inlineStr">
        <is>
          <t>Software Engineer Intern</t>
        </is>
      </c>
      <c r="B326" s="2" t="inlineStr">
        <is>
          <t>Copart</t>
        </is>
      </c>
      <c r="C326" s="3" t="inlineStr">
        <is>
          <t>2026-03-10</t>
        </is>
      </c>
      <c r="D326" s="44" t="n">
        <v>10</v>
      </c>
      <c r="E326" s="3" t="inlineStr">
        <is>
          <t>TX</t>
        </is>
      </c>
      <c r="F326" s="4" t="n">
        <v>7</v>
      </c>
      <c r="G326" s="3" t="inlineStr">
        <is>
          <t>Simplify</t>
        </is>
      </c>
      <c r="H326" s="2" t="inlineStr">
        <is>
          <t>Dallas, TX</t>
        </is>
      </c>
      <c r="I326" s="5">
        <f>HYPERLINK("https://copart.wd12.myworkdayjobs.com/copart/job/Dallas-TX---Headquarters/Software-Engineering-Intern_JR107700","↗")</f>
        <v/>
      </c>
      <c r="J326" s="3" t="inlineStr">
        <is>
          <t>No</t>
        </is>
      </c>
      <c r="K326" s="3" t="inlineStr"/>
      <c r="L326" s="2" t="inlineStr"/>
      <c r="M326" s="2" t="inlineStr"/>
      <c r="N326" s="2" t="inlineStr"/>
      <c r="O326" s="2" t="inlineStr"/>
    </row>
    <row r="327" ht="16" customHeight="1">
      <c r="A327" s="2" t="inlineStr">
        <is>
          <t>Software Engineering Intern</t>
        </is>
      </c>
      <c r="B327" s="2" t="inlineStr">
        <is>
          <t>Copart</t>
        </is>
      </c>
      <c r="C327" s="3" t="inlineStr">
        <is>
          <t>2026-03-10</t>
        </is>
      </c>
      <c r="D327" s="44" t="n">
        <v>10</v>
      </c>
      <c r="E327" s="3" t="inlineStr">
        <is>
          <t>TX</t>
        </is>
      </c>
      <c r="F327" s="7" t="n">
        <v>11</v>
      </c>
      <c r="G327" s="3" t="inlineStr">
        <is>
          <t>Simplify</t>
        </is>
      </c>
      <c r="H327" s="2" t="inlineStr">
        <is>
          <t>Dallas, TX</t>
        </is>
      </c>
      <c r="I327" s="5">
        <f>HYPERLINK("https://copart.wd12.myworkdayjobs.com/copart/job/Dallas-TX---Headquarters/Software-Engineering-Intern_JR107699","↗")</f>
        <v/>
      </c>
      <c r="J327" s="3" t="inlineStr">
        <is>
          <t>No</t>
        </is>
      </c>
      <c r="K327" s="3" t="inlineStr"/>
      <c r="L327" s="2" t="inlineStr"/>
      <c r="M327" s="2" t="inlineStr"/>
      <c r="N327" s="2" t="inlineStr"/>
      <c r="O327" s="2" t="inlineStr"/>
    </row>
    <row r="328" ht="16" customHeight="1">
      <c r="A328" s="12" t="inlineStr">
        <is>
          <t>Forward Deployed Software Engineer Intern</t>
        </is>
      </c>
      <c r="B328" s="12" t="inlineStr">
        <is>
          <t>Palantir</t>
        </is>
      </c>
      <c r="C328" s="13" t="inlineStr">
        <is>
          <t>2026-03-10</t>
        </is>
      </c>
      <c r="D328" s="45" t="n">
        <v>10</v>
      </c>
      <c r="E328" s="13" t="inlineStr">
        <is>
          <t>NY</t>
        </is>
      </c>
      <c r="F328" s="14" t="n">
        <v>7</v>
      </c>
      <c r="G328" s="13" t="inlineStr">
        <is>
          <t>Simplify</t>
        </is>
      </c>
      <c r="H328" s="12" t="inlineStr">
        <is>
          <t>NYC</t>
        </is>
      </c>
      <c r="I328" s="15">
        <f>HYPERLINK("https://jobs.lever.co/palantir/ac0dc094-2480-43c2-8495-26ade227ff4f/apply","↗")</f>
        <v/>
      </c>
      <c r="J328" s="13" t="inlineStr">
        <is>
          <t>No</t>
        </is>
      </c>
      <c r="K328" s="13" t="inlineStr"/>
      <c r="L328" s="12" t="inlineStr"/>
      <c r="M328" s="12" t="inlineStr"/>
      <c r="N328" s="12" t="inlineStr"/>
      <c r="O328" s="12" t="inlineStr"/>
    </row>
    <row r="329" ht="16" customHeight="1">
      <c r="A329" s="2" t="inlineStr">
        <is>
          <t>Intern - Software Engineering - Firmware</t>
        </is>
      </c>
      <c r="B329" s="2" t="inlineStr">
        <is>
          <t>Western Digital</t>
        </is>
      </c>
      <c r="C329" s="3" t="inlineStr">
        <is>
          <t>2026-03-10</t>
        </is>
      </c>
      <c r="D329" s="44" t="n">
        <v>10</v>
      </c>
      <c r="E329" s="3" t="inlineStr">
        <is>
          <t>CA</t>
        </is>
      </c>
      <c r="F329" s="6" t="n">
        <v>16</v>
      </c>
      <c r="G329" s="3" t="inlineStr">
        <is>
          <t>Simplify</t>
        </is>
      </c>
      <c r="H329" s="2" t="inlineStr">
        <is>
          <t>San Jose, CA</t>
        </is>
      </c>
      <c r="I329" s="5">
        <f>HYPERLINK("https://jobs.smartrecruiters.com/WesternDigital/744000113629548","↗")</f>
        <v/>
      </c>
      <c r="J329" s="3" t="inlineStr">
        <is>
          <t>No</t>
        </is>
      </c>
      <c r="K329" s="3" t="inlineStr"/>
      <c r="L329" s="2" t="inlineStr"/>
      <c r="M329" s="2" t="inlineStr"/>
      <c r="N329" s="2" t="inlineStr"/>
      <c r="O329" s="2" t="inlineStr"/>
    </row>
    <row r="330" ht="16" customHeight="1">
      <c r="A330" s="2" t="inlineStr">
        <is>
          <t>Embedded Firmware Engineer Intern</t>
        </is>
      </c>
      <c r="B330" s="2" t="inlineStr">
        <is>
          <t>Trackonomy</t>
        </is>
      </c>
      <c r="C330" s="3" t="inlineStr">
        <is>
          <t>2026-03-10</t>
        </is>
      </c>
      <c r="D330" s="44" t="n">
        <v>10</v>
      </c>
      <c r="E330" s="3" t="inlineStr">
        <is>
          <t>CA</t>
        </is>
      </c>
      <c r="F330" s="7" t="n">
        <v>10</v>
      </c>
      <c r="G330" s="3" t="inlineStr">
        <is>
          <t>Simplify</t>
        </is>
      </c>
      <c r="H330" s="2" t="inlineStr">
        <is>
          <t>San Jose, CA</t>
        </is>
      </c>
      <c r="I330" s="5">
        <f>HYPERLINK("https://trackonomysystems.com/career-details/?gh_jid=5822643004","↗")</f>
        <v/>
      </c>
      <c r="J330" s="3" t="inlineStr">
        <is>
          <t>No</t>
        </is>
      </c>
      <c r="K330" s="3" t="inlineStr"/>
      <c r="L330" s="2" t="inlineStr"/>
      <c r="M330" s="2" t="inlineStr"/>
      <c r="N330" s="2" t="inlineStr"/>
      <c r="O330" s="2" t="inlineStr"/>
    </row>
    <row r="331" ht="16" customHeight="1">
      <c r="A331" s="2" t="inlineStr">
        <is>
          <t>Agentic AI Workflows Intern</t>
        </is>
      </c>
      <c r="B331" s="2" t="inlineStr">
        <is>
          <t>Proofpoint</t>
        </is>
      </c>
      <c r="C331" s="3" t="inlineStr">
        <is>
          <t>2026-03-09</t>
        </is>
      </c>
      <c r="D331" s="44" t="n">
        <v>11</v>
      </c>
      <c r="E331" s="3" t="inlineStr">
        <is>
          <t>CA</t>
        </is>
      </c>
      <c r="F331" s="4" t="n">
        <v>4</v>
      </c>
      <c r="G331" s="3" t="inlineStr">
        <is>
          <t>Simplify</t>
        </is>
      </c>
      <c r="H331" s="2" t="inlineStr">
        <is>
          <t>Sunnyvale, CA</t>
        </is>
      </c>
      <c r="I331" s="5">
        <f>HYPERLINK("https://proofpoint.wd5.myworkdayjobs.com/proofpointcareers/job/Sunnyvale-CA/Agentic-AI-Workflows-Intern_R13877","↗")</f>
        <v/>
      </c>
      <c r="J331" s="3" t="inlineStr">
        <is>
          <t>No</t>
        </is>
      </c>
      <c r="K331" s="3" t="inlineStr"/>
      <c r="L331" s="2" t="inlineStr"/>
      <c r="M331" s="2" t="inlineStr"/>
      <c r="N331" s="2" t="inlineStr"/>
      <c r="O331" s="2" t="inlineStr"/>
    </row>
    <row r="332" ht="16" customHeight="1">
      <c r="A332" s="2" t="inlineStr">
        <is>
          <t>FPGA Intern</t>
        </is>
      </c>
      <c r="B332" s="2" t="inlineStr">
        <is>
          <t>Taara</t>
        </is>
      </c>
      <c r="C332" s="3" t="inlineStr">
        <is>
          <t>2026-03-09</t>
        </is>
      </c>
      <c r="D332" s="44" t="n">
        <v>11</v>
      </c>
      <c r="E332" s="3" t="inlineStr">
        <is>
          <t>CA</t>
        </is>
      </c>
      <c r="F332" s="4" t="n">
        <v>4</v>
      </c>
      <c r="G332" s="3" t="inlineStr">
        <is>
          <t>Simplify</t>
        </is>
      </c>
      <c r="H332" s="2" t="inlineStr">
        <is>
          <t>Sunnyvale, CA</t>
        </is>
      </c>
      <c r="I332" s="5">
        <f>HYPERLINK("https://jobs.ashbyhq.com/taaraconnect/9d46074e-4fa8-44ce-9b2e-59296f6bf2e9/application","↗")</f>
        <v/>
      </c>
      <c r="J332" s="3" t="inlineStr">
        <is>
          <t>No</t>
        </is>
      </c>
      <c r="K332" s="3" t="inlineStr"/>
      <c r="L332" s="2" t="inlineStr"/>
      <c r="M332" s="2" t="inlineStr"/>
      <c r="N332" s="2" t="inlineStr"/>
      <c r="O332" s="2" t="inlineStr"/>
    </row>
    <row r="333" ht="16" customHeight="1">
      <c r="A333" s="2" t="inlineStr">
        <is>
          <t>Computer Vision AI Intern</t>
        </is>
      </c>
      <c r="B333" s="2" t="inlineStr">
        <is>
          <t>Magna International</t>
        </is>
      </c>
      <c r="C333" s="3" t="inlineStr">
        <is>
          <t>2026-03-09</t>
        </is>
      </c>
      <c r="D333" s="44" t="n">
        <v>11</v>
      </c>
      <c r="E333" s="3" t="inlineStr">
        <is>
          <t>MI</t>
        </is>
      </c>
      <c r="F333" s="4" t="n">
        <v>5</v>
      </c>
      <c r="G333" s="3" t="inlineStr">
        <is>
          <t>Simplify</t>
        </is>
      </c>
      <c r="H333" s="2" t="inlineStr">
        <is>
          <t>Troy, MI</t>
        </is>
      </c>
      <c r="I333" s="5">
        <f>HYPERLINK("https://magna.wd3.myworkdayjobs.com/Magna/job/Troy-Michigan-US/Computer-Vision--AI-Intern--R-D-Summer-2026_R00232831-1","↗")</f>
        <v/>
      </c>
      <c r="J333" s="3" t="inlineStr">
        <is>
          <t>No</t>
        </is>
      </c>
      <c r="K333" s="3" t="inlineStr"/>
      <c r="L333" s="2" t="inlineStr"/>
      <c r="M333" s="2" t="inlineStr"/>
      <c r="N333" s="2" t="inlineStr"/>
      <c r="O333" s="2" t="inlineStr"/>
    </row>
    <row r="334" ht="16" customHeight="1">
      <c r="A334" s="2" t="inlineStr">
        <is>
          <t>Intern – IT - Software Engineer</t>
        </is>
      </c>
      <c r="B334" s="2" t="inlineStr">
        <is>
          <t>CoxHealth</t>
        </is>
      </c>
      <c r="C334" s="3" t="inlineStr">
        <is>
          <t>2026-03-09</t>
        </is>
      </c>
      <c r="D334" s="44" t="n">
        <v>11</v>
      </c>
      <c r="E334" s="3" t="inlineStr"/>
      <c r="F334" s="4" t="n">
        <v>7</v>
      </c>
      <c r="G334" s="3" t="inlineStr">
        <is>
          <t>Simplify</t>
        </is>
      </c>
      <c r="H334" s="2" t="inlineStr">
        <is>
          <t>Springfield, MO</t>
        </is>
      </c>
      <c r="I334" s="5">
        <f>HYPERLINK("https://coxhealth.wd5.myworkdayjobs.com/CoxHealth_External/job/Springfield-MO/Intern---IT---Identity-Management_R13933","↗")</f>
        <v/>
      </c>
      <c r="J334" s="3" t="inlineStr">
        <is>
          <t>No</t>
        </is>
      </c>
      <c r="K334" s="3" t="inlineStr"/>
      <c r="L334" s="2" t="inlineStr"/>
      <c r="M334" s="2" t="inlineStr"/>
      <c r="N334" s="2" t="inlineStr"/>
      <c r="O334" s="2" t="inlineStr"/>
    </row>
    <row r="335" ht="16" customHeight="1">
      <c r="A335" s="2" t="inlineStr">
        <is>
          <t>Software Engineer Intern</t>
        </is>
      </c>
      <c r="B335" s="2" t="inlineStr">
        <is>
          <t>Schweitzer Engineering Laboratories</t>
        </is>
      </c>
      <c r="C335" s="3" t="inlineStr">
        <is>
          <t>2026-03-09</t>
        </is>
      </c>
      <c r="D335" s="44" t="n">
        <v>11</v>
      </c>
      <c r="E335" s="3" t="inlineStr"/>
      <c r="F335" s="4" t="n">
        <v>7</v>
      </c>
      <c r="G335" s="3" t="inlineStr">
        <is>
          <t>Simplify</t>
        </is>
      </c>
      <c r="H335" s="2" t="inlineStr">
        <is>
          <t>Moscow, ID</t>
        </is>
      </c>
      <c r="I335" s="5">
        <f>HYPERLINK("https://selinc.wd1.myworkdayjobs.com/SEL/job/Washington---Pullman/Software-Engineer-Intern_2025-18373","↗")</f>
        <v/>
      </c>
      <c r="J335" s="3" t="inlineStr">
        <is>
          <t>No</t>
        </is>
      </c>
      <c r="K335" s="3" t="inlineStr"/>
      <c r="L335" s="2" t="inlineStr"/>
      <c r="M335" s="2" t="inlineStr"/>
      <c r="N335" s="2" t="inlineStr"/>
      <c r="O335" s="2" t="inlineStr"/>
    </row>
    <row r="336" ht="16" customHeight="1">
      <c r="A336" s="2" t="inlineStr">
        <is>
          <t>Millennium Space Systems Intern Program – Data Engineer Intern</t>
        </is>
      </c>
      <c r="B336" s="2" t="inlineStr">
        <is>
          <t>The Boeing Company</t>
        </is>
      </c>
      <c r="C336" s="3" t="inlineStr">
        <is>
          <t>2026-03-09</t>
        </is>
      </c>
      <c r="D336" s="44" t="n">
        <v>11</v>
      </c>
      <c r="E336" s="3" t="inlineStr">
        <is>
          <t>CA</t>
        </is>
      </c>
      <c r="F336" s="7" t="n">
        <v>8</v>
      </c>
      <c r="G336" s="3" t="inlineStr">
        <is>
          <t>Simplify</t>
        </is>
      </c>
      <c r="H336" s="2" t="inlineStr">
        <is>
          <t>El Segundo, CA</t>
        </is>
      </c>
      <c r="I336" s="5">
        <f>HYPERLINK("https://boeing.wd1.myworkdayjobs.com/EXTERNAL_CAREERS/job/USA---El-Segundo-CA/Millennium-Space-Systems-Summer-2026-Internship-Program---Data-Engineer-Intern_JR2026499816-1","↗")</f>
        <v/>
      </c>
      <c r="J336" s="3" t="inlineStr">
        <is>
          <t>No</t>
        </is>
      </c>
      <c r="K336" s="3" t="inlineStr"/>
      <c r="L336" s="2" t="inlineStr"/>
      <c r="M336" s="2" t="inlineStr"/>
      <c r="N336" s="2" t="inlineStr"/>
      <c r="O336" s="2" t="inlineStr"/>
    </row>
    <row r="337" ht="16" customHeight="1">
      <c r="A337" s="2" t="inlineStr">
        <is>
          <t>Software Developer Intern</t>
        </is>
      </c>
      <c r="B337" s="2" t="inlineStr">
        <is>
          <t>AssetWorks</t>
        </is>
      </c>
      <c r="C337" s="3" t="inlineStr">
        <is>
          <t>2026-03-09</t>
        </is>
      </c>
      <c r="D337" s="44" t="n">
        <v>11</v>
      </c>
      <c r="E337" s="3" t="inlineStr">
        <is>
          <t>CA</t>
        </is>
      </c>
      <c r="F337" s="4" t="n">
        <v>5</v>
      </c>
      <c r="G337" s="3" t="inlineStr">
        <is>
          <t>Simplify</t>
        </is>
      </c>
      <c r="H337" s="2" t="inlineStr">
        <is>
          <t>Calgary, AB, Canada</t>
        </is>
      </c>
      <c r="I337" s="5">
        <f>HYPERLINK("https://volarisgroup.wd3.myworkdayjobs.com/AssetWorks/job/Canada---Calgary-AB/Software-Developer-Intern_R60050","↗")</f>
        <v/>
      </c>
      <c r="J337" s="3" t="inlineStr">
        <is>
          <t>No</t>
        </is>
      </c>
      <c r="K337" s="3" t="inlineStr"/>
      <c r="L337" s="2" t="inlineStr"/>
      <c r="M337" s="2" t="inlineStr"/>
      <c r="N337" s="2" t="inlineStr"/>
      <c r="O337" s="2" t="inlineStr"/>
    </row>
    <row r="338" ht="16" customHeight="1">
      <c r="A338" s="2" t="inlineStr">
        <is>
          <t>Software Programmer Intern</t>
        </is>
      </c>
      <c r="B338" s="2" t="inlineStr">
        <is>
          <t>Amentum</t>
        </is>
      </c>
      <c r="C338" s="3" t="inlineStr">
        <is>
          <t>2026-03-09</t>
        </is>
      </c>
      <c r="D338" s="44" t="n">
        <v>11</v>
      </c>
      <c r="E338" s="3" t="inlineStr"/>
      <c r="F338" s="4" t="n">
        <v>5</v>
      </c>
      <c r="G338" s="3" t="inlineStr">
        <is>
          <t>Simplify</t>
        </is>
      </c>
      <c r="H338" s="2" t="inlineStr">
        <is>
          <t>Tullahoma, TN</t>
        </is>
      </c>
      <c r="I338" s="5">
        <f>HYPERLINK("https://pae.wd1.myworkdayjobs.com/en-US/amentum_careers/job/US-TN-Tullahoma/Software-Programmer-Intern_R0155989","↗")</f>
        <v/>
      </c>
      <c r="J338" s="3" t="inlineStr">
        <is>
          <t>No</t>
        </is>
      </c>
      <c r="K338" s="3" t="inlineStr"/>
      <c r="L338" s="2" t="inlineStr"/>
      <c r="M338" s="2" t="inlineStr"/>
      <c r="N338" s="2" t="inlineStr"/>
      <c r="O338" s="2" t="inlineStr"/>
    </row>
    <row r="339" ht="16" customHeight="1">
      <c r="A339" s="2" t="inlineStr">
        <is>
          <t>Millennium Space Systems Intern Program – Data Engineer Intern</t>
        </is>
      </c>
      <c r="B339" s="2" t="inlineStr">
        <is>
          <t>The Boeing Company</t>
        </is>
      </c>
      <c r="C339" s="3" t="inlineStr">
        <is>
          <t>2026-03-09</t>
        </is>
      </c>
      <c r="D339" s="44" t="n">
        <v>11</v>
      </c>
      <c r="E339" s="3" t="inlineStr">
        <is>
          <t>CA</t>
        </is>
      </c>
      <c r="F339" s="7" t="n">
        <v>8</v>
      </c>
      <c r="G339" s="3" t="inlineStr">
        <is>
          <t>Simplify</t>
        </is>
      </c>
      <c r="H339" s="2" t="inlineStr">
        <is>
          <t>El Segundo, CA</t>
        </is>
      </c>
      <c r="I339" s="5">
        <f>HYPERLINK("https://boeing.wd1.myworkdayjobs.com/INTERN/job/USA---El-Segundo-CA/Millennium-Space-Systems-Summer-2026-Internship-Program---Data-Engineer-Intern_JR2026499816","↗")</f>
        <v/>
      </c>
      <c r="J339" s="3" t="inlineStr">
        <is>
          <t>No</t>
        </is>
      </c>
      <c r="K339" s="3" t="inlineStr"/>
      <c r="L339" s="2" t="inlineStr"/>
      <c r="M339" s="2" t="inlineStr"/>
      <c r="N339" s="2" t="inlineStr"/>
      <c r="O339" s="2" t="inlineStr"/>
    </row>
    <row r="340" ht="16" customHeight="1">
      <c r="A340" s="2" t="inlineStr">
        <is>
          <t>ML Infrastructure Intern</t>
        </is>
      </c>
      <c r="B340" s="2" t="inlineStr">
        <is>
          <t>zaimler</t>
        </is>
      </c>
      <c r="C340" s="3" t="inlineStr">
        <is>
          <t>2026-03-09</t>
        </is>
      </c>
      <c r="D340" s="44" t="n">
        <v>11</v>
      </c>
      <c r="E340" s="3" t="inlineStr">
        <is>
          <t>CA</t>
        </is>
      </c>
      <c r="F340" s="4" t="n">
        <v>6</v>
      </c>
      <c r="G340" s="3" t="inlineStr">
        <is>
          <t>Simplify</t>
        </is>
      </c>
      <c r="H340" s="2" t="inlineStr">
        <is>
          <t>San Mateo, CA</t>
        </is>
      </c>
      <c r="I340" s="5">
        <f>HYPERLINK("https://jobs.lever.co/zaimler/7ad271ec-00d1-4b6a-9f48-81af25cc210f/apply","↗")</f>
        <v/>
      </c>
      <c r="J340" s="3" t="inlineStr">
        <is>
          <t>No</t>
        </is>
      </c>
      <c r="K340" s="3" t="inlineStr"/>
      <c r="L340" s="2" t="inlineStr"/>
      <c r="M340" s="2" t="inlineStr"/>
      <c r="N340" s="2" t="inlineStr"/>
      <c r="O340" s="2" t="inlineStr"/>
    </row>
    <row r="341" ht="16" customHeight="1">
      <c r="A341" s="2" t="inlineStr">
        <is>
          <t>Machine Learning Intern</t>
        </is>
      </c>
      <c r="B341" s="2" t="inlineStr">
        <is>
          <t>zaimler</t>
        </is>
      </c>
      <c r="C341" s="3" t="inlineStr">
        <is>
          <t>2026-03-09</t>
        </is>
      </c>
      <c r="D341" s="44" t="n">
        <v>11</v>
      </c>
      <c r="E341" s="3" t="inlineStr">
        <is>
          <t>CA</t>
        </is>
      </c>
      <c r="F341" s="7" t="n">
        <v>8</v>
      </c>
      <c r="G341" s="3" t="inlineStr">
        <is>
          <t>Simplify</t>
        </is>
      </c>
      <c r="H341" s="2" t="inlineStr">
        <is>
          <t>San Mateo, CA</t>
        </is>
      </c>
      <c r="I341" s="5">
        <f>HYPERLINK("https://jobs.lever.co/zaimler/40b48a77-bdd2-470f-8762-559e0a7709d2/apply","↗")</f>
        <v/>
      </c>
      <c r="J341" s="3" t="inlineStr">
        <is>
          <t>No</t>
        </is>
      </c>
      <c r="K341" s="3" t="inlineStr"/>
      <c r="L341" s="2" t="inlineStr"/>
      <c r="M341" s="2" t="inlineStr"/>
      <c r="N341" s="2" t="inlineStr"/>
      <c r="O341" s="2" t="inlineStr"/>
    </row>
    <row r="342" ht="16" customHeight="1">
      <c r="A342" s="2" t="inlineStr">
        <is>
          <t>Product Engineering Intern</t>
        </is>
      </c>
      <c r="B342" s="2" t="inlineStr">
        <is>
          <t>zaimler</t>
        </is>
      </c>
      <c r="C342" s="3" t="inlineStr">
        <is>
          <t>2026-03-09</t>
        </is>
      </c>
      <c r="D342" s="44" t="n">
        <v>11</v>
      </c>
      <c r="E342" s="3" t="inlineStr">
        <is>
          <t>CA</t>
        </is>
      </c>
      <c r="F342" s="4" t="n">
        <v>4</v>
      </c>
      <c r="G342" s="3" t="inlineStr">
        <is>
          <t>Simplify</t>
        </is>
      </c>
      <c r="H342" s="2" t="inlineStr">
        <is>
          <t>San Mateo, CA</t>
        </is>
      </c>
      <c r="I342" s="5">
        <f>HYPERLINK("https://jobs.lever.co/zaimler/90ffc5be-eb8d-4b14-9bd0-8ac96fa1fce9/apply","↗")</f>
        <v/>
      </c>
      <c r="J342" s="3" t="inlineStr">
        <is>
          <t>No</t>
        </is>
      </c>
      <c r="K342" s="3" t="inlineStr"/>
      <c r="L342" s="2" t="inlineStr"/>
      <c r="M342" s="2" t="inlineStr"/>
      <c r="N342" s="2" t="inlineStr"/>
      <c r="O342" s="2" t="inlineStr"/>
    </row>
    <row r="343" ht="16" customHeight="1">
      <c r="A343" s="2" t="inlineStr">
        <is>
          <t>Digital Technology Co-op</t>
        </is>
      </c>
      <c r="B343" s="2" t="inlineStr">
        <is>
          <t>GE Aerospace</t>
        </is>
      </c>
      <c r="C343" s="3" t="inlineStr">
        <is>
          <t>2026-03-09</t>
        </is>
      </c>
      <c r="D343" s="44" t="n">
        <v>11</v>
      </c>
      <c r="E343" s="3" t="inlineStr">
        <is>
          <t>OH</t>
        </is>
      </c>
      <c r="F343" s="4" t="n">
        <v>4</v>
      </c>
      <c r="G343" s="3" t="inlineStr">
        <is>
          <t>Simplify</t>
        </is>
      </c>
      <c r="H343" s="2" t="inlineStr">
        <is>
          <t>Sharonville, OH, Livonia, MI</t>
        </is>
      </c>
      <c r="I343" s="5">
        <f>HYPERLINK("https://geaerospace.wd5.myworkdayjobs.com/ge_externalsite/job/Evendale/Digital-Technology-Co-op---US---Spring-2027---Returning-Students_R5030091-1","↗")</f>
        <v/>
      </c>
      <c r="J343" s="3" t="inlineStr">
        <is>
          <t>No</t>
        </is>
      </c>
      <c r="K343" s="3" t="inlineStr"/>
      <c r="L343" s="2" t="inlineStr"/>
      <c r="M343" s="2" t="inlineStr"/>
      <c r="N343" s="2" t="inlineStr"/>
      <c r="O343" s="2" t="inlineStr"/>
    </row>
    <row r="344" ht="16" customHeight="1">
      <c r="A344" s="2" t="inlineStr">
        <is>
          <t>Engines Engineering Intern - Computer or Software Engineering - Returning Students</t>
        </is>
      </c>
      <c r="B344" s="2" t="inlineStr">
        <is>
          <t>GE Aerospace</t>
        </is>
      </c>
      <c r="C344" s="3" t="inlineStr">
        <is>
          <t>2026-03-09</t>
        </is>
      </c>
      <c r="D344" s="44" t="n">
        <v>11</v>
      </c>
      <c r="E344" s="3" t="inlineStr">
        <is>
          <t>MA</t>
        </is>
      </c>
      <c r="F344" s="6" t="n">
        <v>15</v>
      </c>
      <c r="G344" s="3" t="inlineStr">
        <is>
          <t>Simplify</t>
        </is>
      </c>
      <c r="H344" s="2" t="inlineStr">
        <is>
          <t>Sharonville, OH, Saugus, MA</t>
        </is>
      </c>
      <c r="I344" s="5">
        <f>HYPERLINK("https://geaerospace.wd5.myworkdayjobs.com/ge_externalsite/job/Evendale/Engines-Engineering-Intern---Computer-or-Software-Engineering---US---Summer-2027---Returning-Students_R5030074-1","↗")</f>
        <v/>
      </c>
      <c r="J344" s="3" t="inlineStr">
        <is>
          <t>No</t>
        </is>
      </c>
      <c r="K344" s="3" t="inlineStr"/>
      <c r="L344" s="2" t="inlineStr"/>
      <c r="M344" s="2" t="inlineStr"/>
      <c r="N344" s="2" t="inlineStr"/>
      <c r="O344" s="2" t="inlineStr"/>
    </row>
    <row r="345" ht="16" customHeight="1">
      <c r="A345" s="2" t="inlineStr">
        <is>
          <t>Digital Technology Co-op - Returning Students</t>
        </is>
      </c>
      <c r="B345" s="2" t="inlineStr">
        <is>
          <t>GE Aerospace</t>
        </is>
      </c>
      <c r="C345" s="3" t="inlineStr">
        <is>
          <t>2026-03-09</t>
        </is>
      </c>
      <c r="D345" s="44" t="n">
        <v>11</v>
      </c>
      <c r="E345" s="3" t="inlineStr">
        <is>
          <t>OH</t>
        </is>
      </c>
      <c r="F345" s="4" t="n">
        <v>4</v>
      </c>
      <c r="G345" s="3" t="inlineStr">
        <is>
          <t>Simplify</t>
        </is>
      </c>
      <c r="H345" s="2" t="inlineStr">
        <is>
          <t>Sharonville, OH, Livonia, MI</t>
        </is>
      </c>
      <c r="I345" s="5">
        <f>HYPERLINK("https://geaerospace.wd5.myworkdayjobs.com/ge_externalsite/job/Evendale/Digital-Technology-Co-op---US---Fall-2027---Returning-Students_R5030093-1","↗")</f>
        <v/>
      </c>
      <c r="J345" s="3" t="inlineStr">
        <is>
          <t>No</t>
        </is>
      </c>
      <c r="K345" s="3" t="inlineStr"/>
      <c r="L345" s="2" t="inlineStr"/>
      <c r="M345" s="2" t="inlineStr"/>
      <c r="N345" s="2" t="inlineStr"/>
      <c r="O345" s="2" t="inlineStr"/>
    </row>
    <row r="346" ht="16" customHeight="1">
      <c r="A346" s="2" t="inlineStr">
        <is>
          <t>Part-Time Student - Data Science &amp; Analytics</t>
        </is>
      </c>
      <c r="B346" s="2" t="inlineStr">
        <is>
          <t>John Deere</t>
        </is>
      </c>
      <c r="C346" s="3" t="inlineStr">
        <is>
          <t>2026-03-09</t>
        </is>
      </c>
      <c r="D346" s="44" t="n">
        <v>11</v>
      </c>
      <c r="E346" s="3" t="inlineStr">
        <is>
          <t>TX</t>
        </is>
      </c>
      <c r="F346" s="4" t="n">
        <v>5</v>
      </c>
      <c r="G346" s="3" t="inlineStr">
        <is>
          <t>Simplify</t>
        </is>
      </c>
      <c r="H346" s="2" t="inlineStr">
        <is>
          <t>Urbana, IL, Austin, TX, Ames, IA</t>
        </is>
      </c>
      <c r="I346" s="5">
        <f>HYPERLINK("https://johndeere.eightfold.ai/careers/job/137479614767","↗")</f>
        <v/>
      </c>
      <c r="J346" s="3" t="inlineStr">
        <is>
          <t>No</t>
        </is>
      </c>
      <c r="K346" s="3" t="inlineStr"/>
      <c r="L346" s="2" t="inlineStr"/>
      <c r="M346" s="2" t="inlineStr"/>
      <c r="N346" s="2" t="inlineStr"/>
      <c r="O346" s="2" t="inlineStr"/>
    </row>
    <row r="347" ht="16" customHeight="1">
      <c r="A347" s="2" t="inlineStr">
        <is>
          <t>PhD Autonomy Engineer Intern - Deep Learning or Computer Vision</t>
        </is>
      </c>
      <c r="B347" s="2" t="inlineStr">
        <is>
          <t>Skydio</t>
        </is>
      </c>
      <c r="C347" s="3" t="inlineStr">
        <is>
          <t>2026-03-09</t>
        </is>
      </c>
      <c r="D347" s="44" t="n">
        <v>11</v>
      </c>
      <c r="E347" s="3" t="inlineStr">
        <is>
          <t>CA</t>
        </is>
      </c>
      <c r="F347" s="7" t="n">
        <v>11</v>
      </c>
      <c r="G347" s="3" t="inlineStr">
        <is>
          <t>Simplify</t>
        </is>
      </c>
      <c r="H347" s="2" t="inlineStr">
        <is>
          <t>San Mateo, CA</t>
        </is>
      </c>
      <c r="I347" s="5">
        <f>HYPERLINK("https://jobs.ashbyhq.com/skydio/8d3979a8-c791-4825-8cf4-9b25479b9519/application","↗")</f>
        <v/>
      </c>
      <c r="J347" s="3" t="inlineStr">
        <is>
          <t>No</t>
        </is>
      </c>
      <c r="K347" s="3" t="inlineStr"/>
      <c r="L347" s="2" t="inlineStr"/>
      <c r="M347" s="2" t="inlineStr"/>
      <c r="N347" s="2" t="inlineStr"/>
      <c r="O347" s="2" t="inlineStr"/>
    </row>
    <row r="348" ht="16" customHeight="1">
      <c r="A348" s="2" t="inlineStr">
        <is>
          <t>Software Engineer – Application Development Co-op</t>
        </is>
      </c>
      <c r="B348" s="2" t="inlineStr">
        <is>
          <t>Bracebridge Capital</t>
        </is>
      </c>
      <c r="C348" s="3" t="inlineStr">
        <is>
          <t>2026-03-09</t>
        </is>
      </c>
      <c r="D348" s="44" t="n">
        <v>11</v>
      </c>
      <c r="E348" s="3" t="inlineStr">
        <is>
          <t>MA</t>
        </is>
      </c>
      <c r="F348" s="7" t="n">
        <v>11</v>
      </c>
      <c r="G348" s="3" t="inlineStr">
        <is>
          <t>Simplify</t>
        </is>
      </c>
      <c r="H348" s="2" t="inlineStr">
        <is>
          <t>Boston, MA</t>
        </is>
      </c>
      <c r="I348" s="5">
        <f>HYPERLINK("https://job-boards.greenhouse.io/bracebridgecapital/jobs/4671008005","↗")</f>
        <v/>
      </c>
      <c r="J348" s="3" t="inlineStr">
        <is>
          <t>No</t>
        </is>
      </c>
      <c r="K348" s="3" t="inlineStr"/>
      <c r="L348" s="2" t="inlineStr"/>
      <c r="M348" s="2" t="inlineStr"/>
      <c r="N348" s="2" t="inlineStr"/>
      <c r="O348" s="2" t="inlineStr"/>
    </row>
    <row r="349" ht="16" customHeight="1">
      <c r="A349" s="2" t="inlineStr">
        <is>
          <t>Computer Vision AI Intern</t>
        </is>
      </c>
      <c r="B349" s="2" t="inlineStr">
        <is>
          <t>Magna</t>
        </is>
      </c>
      <c r="C349" s="3" t="inlineStr">
        <is>
          <t>2026-03-09</t>
        </is>
      </c>
      <c r="D349" s="44" t="n">
        <v>11</v>
      </c>
      <c r="E349" s="3" t="inlineStr">
        <is>
          <t>MI</t>
        </is>
      </c>
      <c r="F349" s="4" t="n">
        <v>5</v>
      </c>
      <c r="G349" s="3" t="inlineStr">
        <is>
          <t>Simplify</t>
        </is>
      </c>
      <c r="H349" s="2" t="inlineStr">
        <is>
          <t>Troy, MI</t>
        </is>
      </c>
      <c r="I349" s="5">
        <f>HYPERLINK("https://wd3.myworkdaysite.com/recruiting/magna/Magna/job/Troy-Michigan-US/Computer-Vision--AI-Intern--R-D-Summer-2026_R00232831-1","↗")</f>
        <v/>
      </c>
      <c r="J349" s="3" t="inlineStr">
        <is>
          <t>No</t>
        </is>
      </c>
      <c r="K349" s="3" t="inlineStr"/>
      <c r="L349" s="2" t="inlineStr"/>
      <c r="M349" s="2" t="inlineStr"/>
      <c r="N349" s="2" t="inlineStr"/>
      <c r="O349" s="2" t="inlineStr"/>
    </row>
    <row r="350" ht="16" customHeight="1">
      <c r="A350" s="2" t="inlineStr">
        <is>
          <t>Vision-Language-Navigation Systems for ADAS – Intern</t>
        </is>
      </c>
      <c r="B350" s="2" t="inlineStr">
        <is>
          <t>Robert Bosch Venture Capital</t>
        </is>
      </c>
      <c r="C350" s="3" t="inlineStr">
        <is>
          <t>2026-03-09</t>
        </is>
      </c>
      <c r="D350" s="44" t="n">
        <v>11</v>
      </c>
      <c r="E350" s="3" t="inlineStr">
        <is>
          <t>CA</t>
        </is>
      </c>
      <c r="F350" s="4" t="n">
        <v>6</v>
      </c>
      <c r="G350" s="3" t="inlineStr">
        <is>
          <t>Simplify</t>
        </is>
      </c>
      <c r="H350" s="2" t="inlineStr">
        <is>
          <t>Sunnyvale, CA</t>
        </is>
      </c>
      <c r="I350" s="5">
        <f>HYPERLINK("https://jobs.smartrecruiters.com/BoschGroup/744000113563997","↗")</f>
        <v/>
      </c>
      <c r="J350" s="3" t="inlineStr">
        <is>
          <t>No</t>
        </is>
      </c>
      <c r="K350" s="3" t="inlineStr"/>
      <c r="L350" s="2" t="inlineStr"/>
      <c r="M350" s="2" t="inlineStr"/>
      <c r="N350" s="2" t="inlineStr"/>
      <c r="O350" s="2" t="inlineStr"/>
    </row>
    <row r="351" ht="16" customHeight="1">
      <c r="A351" s="2" t="inlineStr">
        <is>
          <t>Software Engineer - Intern - Perception</t>
        </is>
      </c>
      <c r="B351" s="2" t="inlineStr">
        <is>
          <t>AeroVect</t>
        </is>
      </c>
      <c r="C351" s="3" t="inlineStr">
        <is>
          <t>2026-03-09</t>
        </is>
      </c>
      <c r="D351" s="44" t="n">
        <v>11</v>
      </c>
      <c r="E351" s="3" t="inlineStr">
        <is>
          <t>CA</t>
        </is>
      </c>
      <c r="F351" s="4" t="n">
        <v>7</v>
      </c>
      <c r="G351" s="3" t="inlineStr">
        <is>
          <t>Simplify</t>
        </is>
      </c>
      <c r="H351" s="2" t="inlineStr">
        <is>
          <t>San Bruno, CA</t>
        </is>
      </c>
      <c r="I351" s="5">
        <f>HYPERLINK("https://jobs.ashbyhq.com/AeroVect/cb3ec12d-5f24-4047-bdc5-f262b60bd3ad/application","↗")</f>
        <v/>
      </c>
      <c r="J351" s="3" t="inlineStr">
        <is>
          <t>No</t>
        </is>
      </c>
      <c r="K351" s="3" t="inlineStr"/>
      <c r="L351" s="2" t="inlineStr"/>
      <c r="M351" s="2" t="inlineStr"/>
      <c r="N351" s="2" t="inlineStr"/>
      <c r="O351" s="2" t="inlineStr"/>
    </row>
    <row r="352" ht="16" customHeight="1">
      <c r="A352" s="2" t="inlineStr">
        <is>
          <t>Embedded Software Intern</t>
        </is>
      </c>
      <c r="B352" s="2" t="inlineStr">
        <is>
          <t>Analog Devices</t>
        </is>
      </c>
      <c r="C352" s="3" t="inlineStr">
        <is>
          <t>2026-03-09</t>
        </is>
      </c>
      <c r="D352" s="44" t="n">
        <v>11</v>
      </c>
      <c r="E352" s="3" t="inlineStr">
        <is>
          <t>TX</t>
        </is>
      </c>
      <c r="F352" s="6" t="n">
        <v>15</v>
      </c>
      <c r="G352" s="3" t="inlineStr">
        <is>
          <t>Simplify</t>
        </is>
      </c>
      <c r="H352" s="2" t="inlineStr">
        <is>
          <t>Austin, TX</t>
        </is>
      </c>
      <c r="I352" s="5">
        <f>HYPERLINK("https://analogdevices.wd1.myworkdayjobs.com/External/job/CLOSED-US-TX-Austin-N-Capital/Embedded-Software-Intern_R256367","↗")</f>
        <v/>
      </c>
      <c r="J352" s="3" t="inlineStr">
        <is>
          <t>No</t>
        </is>
      </c>
      <c r="K352" s="3" t="inlineStr"/>
      <c r="L352" s="2" t="inlineStr"/>
      <c r="M352" s="2" t="inlineStr"/>
      <c r="N352" s="2" t="inlineStr"/>
      <c r="O352" s="2" t="inlineStr"/>
    </row>
    <row r="353" ht="16" customHeight="1">
      <c r="A353" s="28" t="inlineStr">
        <is>
          <t>AI Engineering Intern - LLM</t>
        </is>
      </c>
      <c r="B353" s="28" t="inlineStr">
        <is>
          <t>Veolia</t>
        </is>
      </c>
      <c r="C353" s="29" t="inlineStr">
        <is>
          <t>2026-03-09</t>
        </is>
      </c>
      <c r="D353" s="50" t="n">
        <v>11</v>
      </c>
      <c r="E353" s="29" t="inlineStr">
        <is>
          <t>NJ</t>
        </is>
      </c>
      <c r="F353" s="30" t="n">
        <v>6</v>
      </c>
      <c r="G353" s="29" t="inlineStr">
        <is>
          <t>Simplify</t>
        </is>
      </c>
      <c r="H353" s="28" t="inlineStr">
        <is>
          <t>Paramus, NJ</t>
        </is>
      </c>
      <c r="I353" s="31">
        <f>HYPERLINK("https://jobs.smartrecruiters.com/VeoliaEnvironnementSA/744000113472647","↗")</f>
        <v/>
      </c>
      <c r="J353" s="29" t="inlineStr">
        <is>
          <t>No</t>
        </is>
      </c>
      <c r="K353" s="29" t="inlineStr"/>
      <c r="L353" s="28" t="inlineStr"/>
      <c r="M353" s="28" t="inlineStr"/>
      <c r="N353" s="28" t="inlineStr"/>
      <c r="O353" s="28" t="inlineStr"/>
    </row>
    <row r="354" ht="16" customHeight="1">
      <c r="A354" s="2" t="inlineStr">
        <is>
          <t>Software Engineer Intern</t>
        </is>
      </c>
      <c r="B354" s="2" t="inlineStr">
        <is>
          <t>LogicGate</t>
        </is>
      </c>
      <c r="C354" s="3" t="inlineStr">
        <is>
          <t>2026-03-09</t>
        </is>
      </c>
      <c r="D354" s="44" t="n">
        <v>11</v>
      </c>
      <c r="E354" s="3" t="inlineStr">
        <is>
          <t>IL</t>
        </is>
      </c>
      <c r="F354" s="7" t="n">
        <v>9</v>
      </c>
      <c r="G354" s="3" t="inlineStr">
        <is>
          <t>Simplify</t>
        </is>
      </c>
      <c r="H354" s="2" t="inlineStr">
        <is>
          <t>Chicago, IL</t>
        </is>
      </c>
      <c r="I354" s="5">
        <f>HYPERLINK("https://job-boards.greenhouse.io/logicgate/jobs/4671118005","↗")</f>
        <v/>
      </c>
      <c r="J354" s="3" t="inlineStr">
        <is>
          <t>No</t>
        </is>
      </c>
      <c r="K354" s="3" t="inlineStr"/>
      <c r="L354" s="2" t="inlineStr"/>
      <c r="M354" s="2" t="inlineStr"/>
      <c r="N354" s="2" t="inlineStr"/>
      <c r="O354" s="2" t="inlineStr"/>
    </row>
    <row r="355" ht="16" customHeight="1">
      <c r="A355" s="2" t="inlineStr">
        <is>
          <t>AI/ML PhD Intern</t>
        </is>
      </c>
      <c r="B355" s="2" t="inlineStr">
        <is>
          <t>Sigma Computing</t>
        </is>
      </c>
      <c r="C355" s="3" t="inlineStr">
        <is>
          <t>2026-03-09</t>
        </is>
      </c>
      <c r="D355" s="44" t="n">
        <v>11</v>
      </c>
      <c r="E355" s="3" t="inlineStr"/>
      <c r="F355" s="7" t="n">
        <v>8</v>
      </c>
      <c r="G355" s="3" t="inlineStr">
        <is>
          <t>Simplify</t>
        </is>
      </c>
      <c r="H355" s="2" t="inlineStr">
        <is>
          <t>SF</t>
        </is>
      </c>
      <c r="I355" s="5">
        <f>HYPERLINK("https://job-boards.greenhouse.io/sigmacomputing/jobs/7656900003","↗")</f>
        <v/>
      </c>
      <c r="J355" s="3" t="inlineStr">
        <is>
          <t>No</t>
        </is>
      </c>
      <c r="K355" s="3" t="inlineStr"/>
      <c r="L355" s="2" t="inlineStr"/>
      <c r="M355" s="2" t="inlineStr"/>
      <c r="N355" s="2" t="inlineStr"/>
      <c r="O355" s="2" t="inlineStr"/>
    </row>
    <row r="356" ht="16" customHeight="1">
      <c r="A356" s="2" t="inlineStr">
        <is>
          <t>Software Engineer Intern</t>
        </is>
      </c>
      <c r="B356" s="2" t="inlineStr">
        <is>
          <t>Arrowstreet Capital</t>
        </is>
      </c>
      <c r="C356" s="3" t="inlineStr">
        <is>
          <t>2026-03-09</t>
        </is>
      </c>
      <c r="D356" s="44" t="n">
        <v>11</v>
      </c>
      <c r="E356" s="3" t="inlineStr">
        <is>
          <t>MA</t>
        </is>
      </c>
      <c r="F356" s="7" t="n">
        <v>9</v>
      </c>
      <c r="G356" s="3" t="inlineStr">
        <is>
          <t>Simplify</t>
        </is>
      </c>
      <c r="H356" s="2" t="inlineStr">
        <is>
          <t>Boston, MA</t>
        </is>
      </c>
      <c r="I356" s="5">
        <f>HYPERLINK("https://arrowstreetcapital.wd5.myworkdayjobs.com/Campus_Careers/job/Boston/Software-Engineer-Intern--Summer-2026_R1454","↗")</f>
        <v/>
      </c>
      <c r="J356" s="3" t="inlineStr">
        <is>
          <t>No</t>
        </is>
      </c>
      <c r="K356" s="3" t="inlineStr"/>
      <c r="L356" s="2" t="inlineStr"/>
      <c r="M356" s="2" t="inlineStr"/>
      <c r="N356" s="2" t="inlineStr"/>
      <c r="O356" s="2" t="inlineStr"/>
    </row>
    <row r="357" ht="16" customHeight="1">
      <c r="A357" s="2" t="inlineStr">
        <is>
          <t>Software Engineer Intern</t>
        </is>
      </c>
      <c r="B357" s="2" t="inlineStr">
        <is>
          <t>Teledyne</t>
        </is>
      </c>
      <c r="C357" s="3" t="inlineStr">
        <is>
          <t>2026-03-09</t>
        </is>
      </c>
      <c r="D357" s="44" t="n">
        <v>11</v>
      </c>
      <c r="E357" s="3" t="inlineStr"/>
      <c r="F357" s="4" t="n">
        <v>7</v>
      </c>
      <c r="G357" s="3" t="inlineStr">
        <is>
          <t>Simplify</t>
        </is>
      </c>
      <c r="H357" s="2" t="inlineStr">
        <is>
          <t>Huntsville, AL</t>
        </is>
      </c>
      <c r="I357" s="5">
        <f>HYPERLINK("https://flir.wd1.myworkdayjobs.com/flircareers/job/US---Huntsville-AL/Software-Engineer--Intern-_REQ33728","↗")</f>
        <v/>
      </c>
      <c r="J357" s="3" t="inlineStr">
        <is>
          <t>No</t>
        </is>
      </c>
      <c r="K357" s="3" t="inlineStr"/>
      <c r="L357" s="2" t="inlineStr"/>
      <c r="M357" s="2" t="inlineStr"/>
      <c r="N357" s="2" t="inlineStr"/>
      <c r="O357" s="2" t="inlineStr"/>
    </row>
    <row r="358" ht="16" customHeight="1">
      <c r="A358" s="2" t="inlineStr">
        <is>
          <t>Embedded Software Engineer Co-op</t>
        </is>
      </c>
      <c r="B358" s="2" t="inlineStr">
        <is>
          <t>Emerson Electric</t>
        </is>
      </c>
      <c r="C358" s="3" t="inlineStr">
        <is>
          <t>2026-03-09</t>
        </is>
      </c>
      <c r="D358" s="44" t="n">
        <v>11</v>
      </c>
      <c r="E358" s="3" t="inlineStr"/>
      <c r="F358" s="6" t="n">
        <v>21</v>
      </c>
      <c r="G358" s="3" t="inlineStr">
        <is>
          <t>Simplify</t>
        </is>
      </c>
      <c r="H358" s="2" t="inlineStr">
        <is>
          <t>Eden Prairie, MN</t>
        </is>
      </c>
      <c r="I358" s="5">
        <f>HYPERLINK("https://hdjq.fa.us2.oraclecloud.com/hcmUI/CandidateExperience/en/sites/CX_1/job/26002931","↗")</f>
        <v/>
      </c>
      <c r="J358" s="3" t="inlineStr">
        <is>
          <t>No</t>
        </is>
      </c>
      <c r="K358" s="3" t="inlineStr"/>
      <c r="L358" s="2" t="inlineStr"/>
      <c r="M358" s="2" t="inlineStr"/>
      <c r="N358" s="2" t="inlineStr"/>
      <c r="O358" s="2" t="inlineStr"/>
    </row>
    <row r="359" ht="16" customHeight="1">
      <c r="A359" s="2" t="inlineStr">
        <is>
          <t>Firmware Engineer Intern</t>
        </is>
      </c>
      <c r="B359" s="2" t="inlineStr">
        <is>
          <t>ASSA ABLOY</t>
        </is>
      </c>
      <c r="C359" s="3" t="inlineStr">
        <is>
          <t>2026-03-09</t>
        </is>
      </c>
      <c r="D359" s="44" t="n">
        <v>11</v>
      </c>
      <c r="E359" s="3" t="inlineStr">
        <is>
          <t>CT</t>
        </is>
      </c>
      <c r="F359" s="4" t="n">
        <v>5</v>
      </c>
      <c r="G359" s="3" t="inlineStr">
        <is>
          <t>Simplify</t>
        </is>
      </c>
      <c r="H359" s="2" t="inlineStr">
        <is>
          <t>New Haven, CT</t>
        </is>
      </c>
      <c r="I359" s="5">
        <f>HYPERLINK("https://assaabloy.jobs2web.com/job/New-Haven-Firmware-Engineer-Intern-CT-06511/1371726333/?ats=successfactors","↗")</f>
        <v/>
      </c>
      <c r="J359" s="3" t="inlineStr">
        <is>
          <t>No</t>
        </is>
      </c>
      <c r="K359" s="3" t="inlineStr"/>
      <c r="L359" s="2" t="inlineStr"/>
      <c r="M359" s="2" t="inlineStr"/>
      <c r="N359" s="2" t="inlineStr"/>
      <c r="O359" s="2" t="inlineStr"/>
    </row>
    <row r="360" ht="16" customHeight="1">
      <c r="A360" s="2" t="inlineStr">
        <is>
          <t>Engines Engineering Co-op - Computer or Software Engineering</t>
        </is>
      </c>
      <c r="B360" s="2" t="inlineStr">
        <is>
          <t>GE Aerospace</t>
        </is>
      </c>
      <c r="C360" s="3" t="inlineStr">
        <is>
          <t>2026-03-09</t>
        </is>
      </c>
      <c r="D360" s="44" t="n">
        <v>11</v>
      </c>
      <c r="E360" s="3" t="inlineStr">
        <is>
          <t>MA</t>
        </is>
      </c>
      <c r="F360" s="6" t="n">
        <v>15</v>
      </c>
      <c r="G360" s="3" t="inlineStr">
        <is>
          <t>Simplify</t>
        </is>
      </c>
      <c r="H360" s="2" t="inlineStr">
        <is>
          <t>Sharonville, OH, Saugus, MA</t>
        </is>
      </c>
      <c r="I360" s="5">
        <f>HYPERLINK("https://geaerospace.wd5.myworkdayjobs.com/ge_externalsite/job/Evendale/Engines-Engineering-Co-op---Computer-or-Software-Engineering---US---Spring-2027---Returning-Students_R5030073-1","↗")</f>
        <v/>
      </c>
      <c r="J360" s="3" t="inlineStr">
        <is>
          <t>No</t>
        </is>
      </c>
      <c r="K360" s="3" t="inlineStr"/>
      <c r="L360" s="2" t="inlineStr"/>
      <c r="M360" s="2" t="inlineStr"/>
      <c r="N360" s="2" t="inlineStr"/>
      <c r="O360" s="2" t="inlineStr"/>
    </row>
    <row r="361" ht="16" customHeight="1">
      <c r="A361" s="2" t="inlineStr">
        <is>
          <t>Digital Technology Co-op - Returning Students</t>
        </is>
      </c>
      <c r="B361" s="2" t="inlineStr">
        <is>
          <t>GE Aerospace</t>
        </is>
      </c>
      <c r="C361" s="3" t="inlineStr">
        <is>
          <t>2026-03-09</t>
        </is>
      </c>
      <c r="D361" s="44" t="n">
        <v>11</v>
      </c>
      <c r="E361" s="3" t="inlineStr">
        <is>
          <t>OH</t>
        </is>
      </c>
      <c r="F361" s="4" t="n">
        <v>4</v>
      </c>
      <c r="G361" s="3" t="inlineStr">
        <is>
          <t>Simplify</t>
        </is>
      </c>
      <c r="H361" s="2" t="inlineStr">
        <is>
          <t>Sharonville, OH, Livonia, MI</t>
        </is>
      </c>
      <c r="I361" s="5">
        <f>HYPERLINK("https://geaerospace.wd5.myworkdayjobs.com/ge_externalsite/job/Evendale/Digital-Technology-Co-op---US---Fall-2026---Returning-Students_R5030243-1","↗")</f>
        <v/>
      </c>
      <c r="J361" s="3" t="inlineStr">
        <is>
          <t>No</t>
        </is>
      </c>
      <c r="K361" s="3" t="inlineStr"/>
      <c r="L361" s="2" t="inlineStr"/>
      <c r="M361" s="2" t="inlineStr"/>
      <c r="N361" s="2" t="inlineStr"/>
      <c r="O361" s="2" t="inlineStr"/>
    </row>
    <row r="362" ht="16" customHeight="1">
      <c r="A362" s="2" t="inlineStr">
        <is>
          <t>Engines Engineering Co-op - Computer or Software Engineering</t>
        </is>
      </c>
      <c r="B362" s="2" t="inlineStr">
        <is>
          <t>GE Aerospace</t>
        </is>
      </c>
      <c r="C362" s="3" t="inlineStr">
        <is>
          <t>2026-03-09</t>
        </is>
      </c>
      <c r="D362" s="44" t="n">
        <v>11</v>
      </c>
      <c r="E362" s="3" t="inlineStr">
        <is>
          <t>MA</t>
        </is>
      </c>
      <c r="F362" s="6" t="n">
        <v>15</v>
      </c>
      <c r="G362" s="3" t="inlineStr">
        <is>
          <t>Simplify</t>
        </is>
      </c>
      <c r="H362" s="2" t="inlineStr">
        <is>
          <t>Sharonville, OH, Saugus, MA</t>
        </is>
      </c>
      <c r="I362" s="5">
        <f>HYPERLINK("https://geaerospace.wd5.myworkdayjobs.com/ge_externalsite/job/Evendale/Engines-Engineering-Co-op---Computer-or-Software-Engineering---US---Fall-2027---Returning-Students_R5030075-1","↗")</f>
        <v/>
      </c>
      <c r="J362" s="3" t="inlineStr">
        <is>
          <t>No</t>
        </is>
      </c>
      <c r="K362" s="3" t="inlineStr"/>
      <c r="L362" s="2" t="inlineStr"/>
      <c r="M362" s="2" t="inlineStr"/>
      <c r="N362" s="2" t="inlineStr"/>
      <c r="O362" s="2" t="inlineStr"/>
    </row>
    <row r="363" ht="16" customHeight="1">
      <c r="A363" s="2" t="inlineStr">
        <is>
          <t>Software Engineer – Business Intelligence Co-op</t>
        </is>
      </c>
      <c r="B363" s="2" t="inlineStr">
        <is>
          <t>Bracebridge Capital</t>
        </is>
      </c>
      <c r="C363" s="3" t="inlineStr">
        <is>
          <t>2026-03-09</t>
        </is>
      </c>
      <c r="D363" s="44" t="n">
        <v>11</v>
      </c>
      <c r="E363" s="3" t="inlineStr">
        <is>
          <t>MA</t>
        </is>
      </c>
      <c r="F363" s="6" t="n">
        <v>12</v>
      </c>
      <c r="G363" s="3" t="inlineStr">
        <is>
          <t>Simplify</t>
        </is>
      </c>
      <c r="H363" s="2" t="inlineStr">
        <is>
          <t>Boston, MA</t>
        </is>
      </c>
      <c r="I363" s="5">
        <f>HYPERLINK("https://job-boards.greenhouse.io/bracebridgecapital/jobs/4671010005","↗")</f>
        <v/>
      </c>
      <c r="J363" s="3" t="inlineStr">
        <is>
          <t>No</t>
        </is>
      </c>
      <c r="K363" s="3" t="inlineStr"/>
      <c r="L363" s="2" t="inlineStr"/>
      <c r="M363" s="2" t="inlineStr"/>
      <c r="N363" s="2" t="inlineStr"/>
      <c r="O363" s="2" t="inlineStr"/>
    </row>
    <row r="364" ht="16" customHeight="1">
      <c r="A364" s="2" t="inlineStr">
        <is>
          <t>Software Development Intern</t>
        </is>
      </c>
      <c r="B364" s="2" t="inlineStr">
        <is>
          <t>MaintainX</t>
        </is>
      </c>
      <c r="C364" s="3" t="inlineStr">
        <is>
          <t>2026-03-09</t>
        </is>
      </c>
      <c r="D364" s="44" t="n">
        <v>11</v>
      </c>
      <c r="E364" s="3" t="inlineStr">
        <is>
          <t>CA</t>
        </is>
      </c>
      <c r="F364" s="4" t="n">
        <v>5</v>
      </c>
      <c r="G364" s="3" t="inlineStr">
        <is>
          <t>Simplify</t>
        </is>
      </c>
      <c r="H364" s="2" t="inlineStr">
        <is>
          <t>Montreal, QC, Canada</t>
        </is>
      </c>
      <c r="I364" s="5">
        <f>HYPERLINK("https://job-boards.greenhouse.io/maintainx/jobs/5068433007","↗")</f>
        <v/>
      </c>
      <c r="J364" s="3" t="inlineStr">
        <is>
          <t>No</t>
        </is>
      </c>
      <c r="K364" s="3" t="inlineStr"/>
      <c r="L364" s="2" t="inlineStr"/>
      <c r="M364" s="2" t="inlineStr"/>
      <c r="N364" s="2" t="inlineStr"/>
      <c r="O364" s="2" t="inlineStr"/>
    </row>
    <row r="365" ht="16" customHeight="1">
      <c r="A365" s="22" t="inlineStr">
        <is>
          <t>Computer Science/Software Engineering Intern</t>
        </is>
      </c>
      <c r="B365" s="22" t="inlineStr">
        <is>
          <t>AMERICAN SYSTEMS</t>
        </is>
      </c>
      <c r="C365" s="23" t="inlineStr">
        <is>
          <t>2026-03-09</t>
        </is>
      </c>
      <c r="D365" s="49" t="n">
        <v>11</v>
      </c>
      <c r="E365" s="23" t="inlineStr">
        <is>
          <t>PA</t>
        </is>
      </c>
      <c r="F365" s="6" t="n">
        <v>15</v>
      </c>
      <c r="G365" s="23" t="inlineStr">
        <is>
          <t>Simplify</t>
        </is>
      </c>
      <c r="H365" s="22" t="inlineStr">
        <is>
          <t>Patuxent River, MD</t>
        </is>
      </c>
      <c r="I365" s="25">
        <f>HYPERLINK("https://careers-americansystems.icims.com/jobs/4092/job?mobile=true&amp;needsRedirect=false","↗")</f>
        <v/>
      </c>
      <c r="J365" s="23" t="inlineStr">
        <is>
          <t>No</t>
        </is>
      </c>
      <c r="K365" s="23" t="inlineStr"/>
      <c r="L365" s="22" t="inlineStr"/>
      <c r="M365" s="22" t="inlineStr"/>
      <c r="N365" s="22" t="inlineStr"/>
      <c r="O365" s="22" t="inlineStr"/>
    </row>
    <row r="366" ht="16" customHeight="1">
      <c r="A366" s="2" t="inlineStr">
        <is>
          <t>Physics-Informed AI Intern</t>
        </is>
      </c>
      <c r="B366" s="2" t="inlineStr">
        <is>
          <t>Keysight Technologies</t>
        </is>
      </c>
      <c r="C366" s="3" t="inlineStr">
        <is>
          <t>2026-03-09</t>
        </is>
      </c>
      <c r="D366" s="44" t="n">
        <v>11</v>
      </c>
      <c r="E366" s="3" t="inlineStr">
        <is>
          <t>CA</t>
        </is>
      </c>
      <c r="F366" s="4" t="n">
        <v>4</v>
      </c>
      <c r="G366" s="3" t="inlineStr">
        <is>
          <t>Simplify</t>
        </is>
      </c>
      <c r="H366" s="2" t="inlineStr">
        <is>
          <t>Santa Rosa, CA</t>
        </is>
      </c>
      <c r="I366" s="5">
        <f>HYPERLINK("https://jobs.keysight.com/jobs/51867?lang=en-us&amp;icims=1","↗")</f>
        <v/>
      </c>
      <c r="J366" s="3" t="inlineStr">
        <is>
          <t>No</t>
        </is>
      </c>
      <c r="K366" s="3" t="inlineStr"/>
      <c r="L366" s="2" t="inlineStr"/>
      <c r="M366" s="2" t="inlineStr"/>
      <c r="N366" s="2" t="inlineStr"/>
      <c r="O366" s="2" t="inlineStr"/>
    </row>
    <row r="367" ht="16" customHeight="1">
      <c r="A367" s="51" t="inlineStr">
        <is>
          <t>Fall 2026 Intern, Artificial Intelligence/Machine Learning</t>
        </is>
      </c>
      <c r="B367" s="51" t="inlineStr">
        <is>
          <t>Kodiak Robotics</t>
        </is>
      </c>
      <c r="C367" s="52" t="inlineStr">
        <is>
          <t>2026-03-06T19:37:46-05:00</t>
        </is>
      </c>
      <c r="D367" s="52" t="inlineStr"/>
      <c r="E367" s="52" t="inlineStr">
        <is>
          <t>CA</t>
        </is>
      </c>
      <c r="F367" s="6" t="n">
        <v>18</v>
      </c>
      <c r="G367" s="52" t="inlineStr">
        <is>
          <t>Greenhouse</t>
        </is>
      </c>
      <c r="H367" s="51" t="inlineStr">
        <is>
          <t>Mountain View, CA</t>
        </is>
      </c>
      <c r="I367" s="53">
        <f>HYPERLINK("https://job-boards.greenhouse.io/kodiak/jobs/4174469009","↗")</f>
        <v/>
      </c>
      <c r="J367" s="52" t="inlineStr">
        <is>
          <t>No</t>
        </is>
      </c>
      <c r="K367" s="52" t="inlineStr"/>
      <c r="L367" s="51" t="inlineStr"/>
      <c r="M367" s="51" t="inlineStr"/>
      <c r="N367" s="51" t="inlineStr"/>
      <c r="O367" s="51" t="inlineStr"/>
    </row>
    <row r="368" ht="16" customHeight="1">
      <c r="A368" s="51" t="inlineStr">
        <is>
          <t>Electrical Engineering Intern</t>
        </is>
      </c>
      <c r="B368" s="51" t="inlineStr">
        <is>
          <t>Agility Robotics</t>
        </is>
      </c>
      <c r="C368" s="52" t="inlineStr">
        <is>
          <t>2026-03-05T17:34:04-05:00</t>
        </is>
      </c>
      <c r="D368" s="52" t="inlineStr"/>
      <c r="E368" s="52" t="inlineStr"/>
      <c r="F368" s="6" t="n">
        <v>16</v>
      </c>
      <c r="G368" s="52" t="inlineStr">
        <is>
          <t>Greenhouse</t>
        </is>
      </c>
      <c r="H368" s="51" t="inlineStr">
        <is>
          <t>Onsite- Salem, OR</t>
        </is>
      </c>
      <c r="I368" s="53">
        <f>HYPERLINK("https://www.agilityrobotics.com/about/job-post?gh_jid=5820329004","↗")</f>
        <v/>
      </c>
      <c r="J368" s="52" t="inlineStr">
        <is>
          <t>No</t>
        </is>
      </c>
      <c r="K368" s="52" t="inlineStr"/>
      <c r="L368" s="51" t="inlineStr"/>
      <c r="M368" s="51" t="inlineStr"/>
      <c r="N368" s="51" t="inlineStr"/>
      <c r="O368" s="51" t="inlineStr"/>
    </row>
    <row r="369" ht="16" customHeight="1">
      <c r="A369" s="54" t="inlineStr">
        <is>
          <t>2026 Summer Intern - Electrical Engineering (R4626)</t>
        </is>
      </c>
      <c r="B369" s="54" t="inlineStr">
        <is>
          <t>Shield AI</t>
        </is>
      </c>
      <c r="C369" s="55" t="inlineStr">
        <is>
          <t>1771425412821</t>
        </is>
      </c>
      <c r="D369" s="55" t="inlineStr"/>
      <c r="E369" s="55" t="inlineStr">
        <is>
          <t>TX</t>
        </is>
      </c>
      <c r="F369" s="6" t="n">
        <v>14</v>
      </c>
      <c r="G369" s="55" t="inlineStr">
        <is>
          <t>Lever</t>
        </is>
      </c>
      <c r="H369" s="54" t="inlineStr">
        <is>
          <t>Dallas, Texas</t>
        </is>
      </c>
      <c r="I369" s="56">
        <f>HYPERLINK("https://jobs.lever.co/shieldai/de0ca518-e06f-403a-a8a0-0854e3944f5a","↗")</f>
        <v/>
      </c>
      <c r="J369" s="55" t="inlineStr">
        <is>
          <t>No</t>
        </is>
      </c>
      <c r="K369" s="55" t="inlineStr"/>
      <c r="L369" s="54" t="inlineStr"/>
      <c r="M369" s="54" t="inlineStr"/>
      <c r="N369" s="54" t="inlineStr"/>
      <c r="O369" s="54" t="inlineStr"/>
    </row>
    <row r="370" ht="16" customHeight="1">
      <c r="A370" s="54" t="inlineStr">
        <is>
          <t>Electrical Engineering Fall Co-op (June 2026) (R4473)</t>
        </is>
      </c>
      <c r="B370" s="54" t="inlineStr">
        <is>
          <t>Shield AI</t>
        </is>
      </c>
      <c r="C370" s="55" t="inlineStr">
        <is>
          <t>1760450259706</t>
        </is>
      </c>
      <c r="D370" s="55" t="inlineStr"/>
      <c r="E370" s="55" t="inlineStr">
        <is>
          <t>TX</t>
        </is>
      </c>
      <c r="F370" s="6" t="n">
        <v>14</v>
      </c>
      <c r="G370" s="55" t="inlineStr">
        <is>
          <t>Lever</t>
        </is>
      </c>
      <c r="H370" s="54" t="inlineStr">
        <is>
          <t>Dallas, Texas</t>
        </is>
      </c>
      <c r="I370" s="56">
        <f>HYPERLINK("https://jobs.lever.co/shieldai/7b4e2234-fa9a-4945-8a20-0c16d176c702","↗")</f>
        <v/>
      </c>
      <c r="J370" s="55" t="inlineStr">
        <is>
          <t>No</t>
        </is>
      </c>
      <c r="K370" s="55" t="inlineStr"/>
      <c r="L370" s="54" t="inlineStr"/>
      <c r="M370" s="54" t="inlineStr"/>
      <c r="N370" s="54" t="inlineStr"/>
      <c r="O370" s="54" t="inlineStr"/>
    </row>
    <row r="371" ht="16" customHeight="1">
      <c r="A371" s="51" t="inlineStr">
        <is>
          <t>Intern - Embedded Firmware Engineer, Battery Software, Summer 2026</t>
        </is>
      </c>
      <c r="B371" s="51" t="inlineStr">
        <is>
          <t>Lucid Motors</t>
        </is>
      </c>
      <c r="C371" s="52" t="inlineStr">
        <is>
          <t>2026-03-20T04:20:01-04:00</t>
        </is>
      </c>
      <c r="D371" s="52" t="inlineStr"/>
      <c r="E371" s="52" t="inlineStr">
        <is>
          <t>CA</t>
        </is>
      </c>
      <c r="F371" s="6" t="n">
        <v>13</v>
      </c>
      <c r="G371" s="52" t="inlineStr">
        <is>
          <t>Greenhouse</t>
        </is>
      </c>
      <c r="H371" s="51" t="inlineStr">
        <is>
          <t>Newark, CA</t>
        </is>
      </c>
      <c r="I371" s="53">
        <f>HYPERLINK("https://job-boards.greenhouse.io/lucidmotors/jobs/4953706007","↗")</f>
        <v/>
      </c>
      <c r="J371" s="52" t="inlineStr">
        <is>
          <t>No</t>
        </is>
      </c>
      <c r="K371" s="52" t="inlineStr"/>
      <c r="L371" s="51" t="inlineStr"/>
      <c r="M371" s="51" t="inlineStr"/>
      <c r="N371" s="51" t="inlineStr"/>
      <c r="O371" s="51" t="inlineStr"/>
    </row>
    <row r="372" ht="16" customHeight="1">
      <c r="A372" s="51" t="inlineStr">
        <is>
          <t>Autonomy Software Intern — Humanoid Robotics</t>
        </is>
      </c>
      <c r="B372" s="51" t="inlineStr">
        <is>
          <t>Apptronik</t>
        </is>
      </c>
      <c r="C372" s="52" t="inlineStr">
        <is>
          <t>2026-02-26T13:22:13-05:00</t>
        </is>
      </c>
      <c r="D372" s="52" t="inlineStr"/>
      <c r="E372" s="52" t="inlineStr">
        <is>
          <t>TX</t>
        </is>
      </c>
      <c r="F372" s="6" t="n">
        <v>13</v>
      </c>
      <c r="G372" s="52" t="inlineStr">
        <is>
          <t>Greenhouse</t>
        </is>
      </c>
      <c r="H372" s="51" t="inlineStr">
        <is>
          <t>Austin, TX</t>
        </is>
      </c>
      <c r="I372" s="53">
        <f>HYPERLINK("https://boards.greenhouse.io/apptronik/jobs/5813869004?gh_jid=5813869004","↗")</f>
        <v/>
      </c>
      <c r="J372" s="52" t="inlineStr">
        <is>
          <t>No</t>
        </is>
      </c>
      <c r="K372" s="52" t="inlineStr"/>
      <c r="L372" s="51" t="inlineStr"/>
      <c r="M372" s="51" t="inlineStr"/>
      <c r="N372" s="51" t="inlineStr"/>
      <c r="O372" s="51" t="inlineStr"/>
    </row>
    <row r="373" ht="16" customHeight="1">
      <c r="A373" s="51" t="inlineStr">
        <is>
          <t>Software Engineer, ML Infrastructure - Internship</t>
        </is>
      </c>
      <c r="B373" s="51" t="inlineStr">
        <is>
          <t>Nuro</t>
        </is>
      </c>
      <c r="C373" s="52" t="inlineStr">
        <is>
          <t>2026-02-10T13:24:34-05:00</t>
        </is>
      </c>
      <c r="D373" s="52" t="inlineStr"/>
      <c r="E373" s="52" t="inlineStr">
        <is>
          <t>CA</t>
        </is>
      </c>
      <c r="F373" s="6" t="n">
        <v>13</v>
      </c>
      <c r="G373" s="52" t="inlineStr">
        <is>
          <t>Greenhouse</t>
        </is>
      </c>
      <c r="H373" s="51" t="inlineStr">
        <is>
          <t>Mountain View, California (HQ)</t>
        </is>
      </c>
      <c r="I373" s="53">
        <f>HYPERLINK("https://nuro.ai/careersitem?gh_jid=7366266","↗")</f>
        <v/>
      </c>
      <c r="J373" s="52" t="inlineStr">
        <is>
          <t>No</t>
        </is>
      </c>
      <c r="K373" s="52" t="inlineStr"/>
      <c r="L373" s="51" t="inlineStr"/>
      <c r="M373" s="51" t="inlineStr"/>
      <c r="N373" s="51" t="inlineStr"/>
      <c r="O373" s="51" t="inlineStr"/>
    </row>
    <row r="374" ht="16" customHeight="1">
      <c r="A374" s="51" t="inlineStr">
        <is>
          <t>Software Engineering Intern: Developer Experience</t>
        </is>
      </c>
      <c r="B374" s="51" t="inlineStr">
        <is>
          <t>Apptronik</t>
        </is>
      </c>
      <c r="C374" s="52" t="inlineStr">
        <is>
          <t>2026-03-17T12:43:58-04:00</t>
        </is>
      </c>
      <c r="D374" s="52" t="inlineStr"/>
      <c r="E374" s="52" t="inlineStr">
        <is>
          <t>TX</t>
        </is>
      </c>
      <c r="F374" s="6" t="n">
        <v>13</v>
      </c>
      <c r="G374" s="52" t="inlineStr">
        <is>
          <t>Greenhouse</t>
        </is>
      </c>
      <c r="H374" s="51" t="inlineStr">
        <is>
          <t>Austin, TX</t>
        </is>
      </c>
      <c r="I374" s="53">
        <f>HYPERLINK("https://boards.greenhouse.io/apptronik/jobs/5828414004?gh_jid=5828414004","↗")</f>
        <v/>
      </c>
      <c r="J374" s="52" t="inlineStr">
        <is>
          <t>No</t>
        </is>
      </c>
      <c r="K374" s="52" t="inlineStr"/>
      <c r="L374" s="51" t="inlineStr"/>
      <c r="M374" s="51" t="inlineStr"/>
      <c r="N374" s="51" t="inlineStr"/>
      <c r="O374" s="51" t="inlineStr"/>
    </row>
    <row r="375" ht="16" customHeight="1">
      <c r="A375" s="51" t="inlineStr">
        <is>
          <t xml:space="preserve">Software Engineering Intern (Summer 2026) </t>
        </is>
      </c>
      <c r="B375" s="51" t="inlineStr">
        <is>
          <t>Scale AI</t>
        </is>
      </c>
      <c r="C375" s="52" t="inlineStr">
        <is>
          <t>2026-03-12T12:49:04-04:00</t>
        </is>
      </c>
      <c r="D375" s="52" t="inlineStr"/>
      <c r="E375" s="52" t="inlineStr">
        <is>
          <t>CA</t>
        </is>
      </c>
      <c r="F375" s="6" t="n">
        <v>13</v>
      </c>
      <c r="G375" s="52" t="inlineStr">
        <is>
          <t>Greenhouse</t>
        </is>
      </c>
      <c r="H375" s="51" t="inlineStr">
        <is>
          <t>San Francisco, CA</t>
        </is>
      </c>
      <c r="I375" s="53">
        <f>HYPERLINK("https://job-boards.greenhouse.io/scaleai/jobs/4606014005","↗")</f>
        <v/>
      </c>
      <c r="J375" s="52" t="inlineStr">
        <is>
          <t>No</t>
        </is>
      </c>
      <c r="K375" s="52" t="inlineStr"/>
      <c r="L375" s="51" t="inlineStr"/>
      <c r="M375" s="51" t="inlineStr"/>
      <c r="N375" s="51" t="inlineStr"/>
      <c r="O375" s="51" t="inlineStr"/>
    </row>
    <row r="376" ht="16" customHeight="1">
      <c r="A376" s="8" t="inlineStr">
        <is>
          <t>Staff Software Engineer, Internal Services</t>
        </is>
      </c>
      <c r="B376" s="8" t="inlineStr">
        <is>
          <t>Agility Robotics</t>
        </is>
      </c>
      <c r="C376" s="9" t="inlineStr">
        <is>
          <t>2026-03-02T11:53:40-05:00</t>
        </is>
      </c>
      <c r="D376" s="9" t="inlineStr"/>
      <c r="E376" s="9" t="inlineStr">
        <is>
          <t>Remote</t>
        </is>
      </c>
      <c r="F376" s="6" t="n">
        <v>13</v>
      </c>
      <c r="G376" s="9" t="inlineStr">
        <is>
          <t>Greenhouse</t>
        </is>
      </c>
      <c r="H376" s="8" t="inlineStr">
        <is>
          <t>Remote</t>
        </is>
      </c>
      <c r="I376" s="10">
        <f>HYPERLINK("https://www.agilityrobotics.com/about/job-post?gh_jid=5710397004","↗")</f>
        <v/>
      </c>
      <c r="J376" s="9" t="inlineStr">
        <is>
          <t>No</t>
        </is>
      </c>
      <c r="K376" s="9" t="inlineStr"/>
      <c r="L376" s="8" t="inlineStr"/>
      <c r="M376" s="8" t="inlineStr"/>
      <c r="N376" s="8" t="inlineStr"/>
      <c r="O376" s="8" t="inlineStr"/>
    </row>
    <row r="377" ht="16" customHeight="1">
      <c r="A377" s="51" t="inlineStr">
        <is>
          <t>Electrical Engineering Co-Op</t>
        </is>
      </c>
      <c r="B377" s="51" t="inlineStr">
        <is>
          <t>Samsara</t>
        </is>
      </c>
      <c r="C377" s="52" t="inlineStr">
        <is>
          <t>2026-03-09T10:01:01-04:00</t>
        </is>
      </c>
      <c r="D377" s="52" t="inlineStr"/>
      <c r="E377" s="52" t="inlineStr"/>
      <c r="F377" s="6" t="n">
        <v>12</v>
      </c>
      <c r="G377" s="52" t="inlineStr">
        <is>
          <t>Greenhouse</t>
        </is>
      </c>
      <c r="H377" s="51" t="inlineStr">
        <is>
          <t>San Francisco - SF9</t>
        </is>
      </c>
      <c r="I377" s="53">
        <f>HYPERLINK("https://www.samsara.com/company/careers/roles/7581914?gh_jid=7581914","↗")</f>
        <v/>
      </c>
      <c r="J377" s="52" t="inlineStr">
        <is>
          <t>No</t>
        </is>
      </c>
      <c r="K377" s="52" t="inlineStr"/>
      <c r="L377" s="51" t="inlineStr"/>
      <c r="M377" s="51" t="inlineStr"/>
      <c r="N377" s="51" t="inlineStr"/>
      <c r="O377" s="51" t="inlineStr"/>
    </row>
    <row r="378" ht="16" customHeight="1">
      <c r="A378" s="22" t="inlineStr">
        <is>
          <t>Software Engineer, Internship - Defense Tech</t>
        </is>
      </c>
      <c r="B378" s="22" t="inlineStr">
        <is>
          <t>Palantir</t>
        </is>
      </c>
      <c r="C378" s="23" t="inlineStr">
        <is>
          <t>1722900402003</t>
        </is>
      </c>
      <c r="D378" s="23" t="inlineStr"/>
      <c r="E378" s="23" t="inlineStr">
        <is>
          <t>PA</t>
        </is>
      </c>
      <c r="F378" s="6" t="n">
        <v>12</v>
      </c>
      <c r="G378" s="23" t="inlineStr">
        <is>
          <t>Lever</t>
        </is>
      </c>
      <c r="H378" s="22" t="inlineStr">
        <is>
          <t>Palo Alto, CA</t>
        </is>
      </c>
      <c r="I378" s="25">
        <f>HYPERLINK("https://jobs.lever.co/palantir/a483f41b-0da9-42ea-8ed6-cbf6eb93cc6d","↗")</f>
        <v/>
      </c>
      <c r="J378" s="23" t="inlineStr">
        <is>
          <t>No</t>
        </is>
      </c>
      <c r="K378" s="23" t="inlineStr"/>
      <c r="L378" s="22" t="inlineStr"/>
      <c r="M378" s="22" t="inlineStr"/>
      <c r="N378" s="22" t="inlineStr"/>
      <c r="O378" s="22" t="inlineStr"/>
    </row>
    <row r="379" ht="16" customHeight="1">
      <c r="A379" s="12" t="inlineStr">
        <is>
          <t>Software Engineer, Internship - Defense Tech</t>
        </is>
      </c>
      <c r="B379" s="12" t="inlineStr">
        <is>
          <t>Palantir</t>
        </is>
      </c>
      <c r="C379" s="13" t="inlineStr">
        <is>
          <t>1722900428111</t>
        </is>
      </c>
      <c r="D379" s="13" t="inlineStr"/>
      <c r="E379" s="13" t="inlineStr">
        <is>
          <t>NY</t>
        </is>
      </c>
      <c r="F379" s="6" t="n">
        <v>12</v>
      </c>
      <c r="G379" s="13" t="inlineStr">
        <is>
          <t>Lever</t>
        </is>
      </c>
      <c r="H379" s="12" t="inlineStr">
        <is>
          <t>New York, NY</t>
        </is>
      </c>
      <c r="I379" s="15">
        <f>HYPERLINK("https://jobs.lever.co/palantir/8bcf4f33-0a79-4248-bbfd-49ac4be9dd8e","↗")</f>
        <v/>
      </c>
      <c r="J379" s="13" t="inlineStr">
        <is>
          <t>No</t>
        </is>
      </c>
      <c r="K379" s="13" t="inlineStr"/>
      <c r="L379" s="12" t="inlineStr"/>
      <c r="M379" s="12" t="inlineStr"/>
      <c r="N379" s="12" t="inlineStr"/>
      <c r="O379" s="12" t="inlineStr"/>
    </row>
    <row r="380" ht="16" customHeight="1">
      <c r="A380" s="54" t="inlineStr">
        <is>
          <t>Software Engineer, Internship - Defense Tech</t>
        </is>
      </c>
      <c r="B380" s="54" t="inlineStr">
        <is>
          <t>Palantir</t>
        </is>
      </c>
      <c r="C380" s="55" t="inlineStr">
        <is>
          <t>1722900376668</t>
        </is>
      </c>
      <c r="D380" s="55" t="inlineStr"/>
      <c r="E380" s="55" t="inlineStr">
        <is>
          <t>WA</t>
        </is>
      </c>
      <c r="F380" s="6" t="n">
        <v>12</v>
      </c>
      <c r="G380" s="55" t="inlineStr">
        <is>
          <t>Lever</t>
        </is>
      </c>
      <c r="H380" s="54" t="inlineStr">
        <is>
          <t>Washington, D.C.</t>
        </is>
      </c>
      <c r="I380" s="56">
        <f>HYPERLINK("https://jobs.lever.co/palantir/f17e98d0-046a-4e6e-9d65-ed0b12dd0ff7","↗")</f>
        <v/>
      </c>
      <c r="J380" s="55" t="inlineStr">
        <is>
          <t>No</t>
        </is>
      </c>
      <c r="K380" s="55" t="inlineStr"/>
      <c r="L380" s="54" t="inlineStr"/>
      <c r="M380" s="54" t="inlineStr"/>
      <c r="N380" s="54" t="inlineStr"/>
      <c r="O380" s="54" t="inlineStr"/>
    </row>
    <row r="381" ht="16" customHeight="1">
      <c r="A381" s="51" t="inlineStr">
        <is>
          <t>Summer 2026 Software Engineering Internship/Co-op</t>
        </is>
      </c>
      <c r="B381" s="51" t="inlineStr">
        <is>
          <t>SpaceX</t>
        </is>
      </c>
      <c r="C381" s="52" t="inlineStr">
        <is>
          <t>2026-03-20T19:08:01-04:00</t>
        </is>
      </c>
      <c r="D381" s="52" t="inlineStr"/>
      <c r="E381" s="52" t="inlineStr">
        <is>
          <t>FL</t>
        </is>
      </c>
      <c r="F381" s="7" t="n">
        <v>11</v>
      </c>
      <c r="G381" s="52" t="inlineStr">
        <is>
          <t>Greenhouse</t>
        </is>
      </c>
      <c r="H381" s="51" t="inlineStr">
        <is>
          <t>Flexible - Any SpaceX Site</t>
        </is>
      </c>
      <c r="I381" s="53">
        <f>HYPERLINK("https://boards.greenhouse.io/spacex/jobs/8149154002?gh_jid=8149154002","↗")</f>
        <v/>
      </c>
      <c r="J381" s="52" t="inlineStr">
        <is>
          <t>No</t>
        </is>
      </c>
      <c r="K381" s="52" t="inlineStr"/>
      <c r="L381" s="51" t="inlineStr"/>
      <c r="M381" s="51" t="inlineStr"/>
      <c r="N381" s="51" t="inlineStr"/>
      <c r="O381" s="51" t="inlineStr"/>
    </row>
    <row r="382" ht="16" customHeight="1">
      <c r="A382" s="51" t="inlineStr">
        <is>
          <t>Fall 2026 Intern, Data Science</t>
        </is>
      </c>
      <c r="B382" s="51" t="inlineStr">
        <is>
          <t>Kodiak Robotics</t>
        </is>
      </c>
      <c r="C382" s="52" t="inlineStr">
        <is>
          <t>2026-03-06T19:39:14-05:00</t>
        </is>
      </c>
      <c r="D382" s="52" t="inlineStr"/>
      <c r="E382" s="52" t="inlineStr">
        <is>
          <t>CA</t>
        </is>
      </c>
      <c r="F382" s="7" t="n">
        <v>11</v>
      </c>
      <c r="G382" s="52" t="inlineStr">
        <is>
          <t>Greenhouse</t>
        </is>
      </c>
      <c r="H382" s="51" t="inlineStr">
        <is>
          <t>Mountain View, CA</t>
        </is>
      </c>
      <c r="I382" s="53">
        <f>HYPERLINK("https://job-boards.greenhouse.io/kodiak/jobs/4174629009","↗")</f>
        <v/>
      </c>
      <c r="J382" s="52" t="inlineStr">
        <is>
          <t>No</t>
        </is>
      </c>
      <c r="K382" s="52" t="inlineStr"/>
      <c r="L382" s="51" t="inlineStr"/>
      <c r="M382" s="51" t="inlineStr"/>
      <c r="N382" s="51" t="inlineStr"/>
      <c r="O382" s="51" t="inlineStr"/>
    </row>
    <row r="383" ht="16" customHeight="1">
      <c r="A383" s="51" t="inlineStr">
        <is>
          <t>Software Engineer Intern, Pose (Vehicle State Estimation)</t>
        </is>
      </c>
      <c r="B383" s="51" t="inlineStr">
        <is>
          <t>Nuro</t>
        </is>
      </c>
      <c r="C383" s="52" t="inlineStr">
        <is>
          <t>2026-02-10T13:24:34-05:00</t>
        </is>
      </c>
      <c r="D383" s="52" t="inlineStr"/>
      <c r="E383" s="52" t="inlineStr">
        <is>
          <t>CA</t>
        </is>
      </c>
      <c r="F383" s="7" t="n">
        <v>11</v>
      </c>
      <c r="G383" s="52" t="inlineStr">
        <is>
          <t>Greenhouse</t>
        </is>
      </c>
      <c r="H383" s="51" t="inlineStr">
        <is>
          <t>Mountain View, California (HQ)</t>
        </is>
      </c>
      <c r="I383" s="53">
        <f>HYPERLINK("https://nuro.ai/careersitem?gh_jid=7545444","↗")</f>
        <v/>
      </c>
      <c r="J383" s="52" t="inlineStr">
        <is>
          <t>No</t>
        </is>
      </c>
      <c r="K383" s="52" t="inlineStr"/>
      <c r="L383" s="51" t="inlineStr"/>
      <c r="M383" s="51" t="inlineStr"/>
      <c r="N383" s="51" t="inlineStr"/>
      <c r="O383" s="51" t="inlineStr"/>
    </row>
    <row r="384" ht="16" customHeight="1">
      <c r="A384" s="51" t="inlineStr">
        <is>
          <t>Fall 2026 Software Engineering Internship/Co-op</t>
        </is>
      </c>
      <c r="B384" s="51" t="inlineStr">
        <is>
          <t>SpaceX</t>
        </is>
      </c>
      <c r="C384" s="52" t="inlineStr">
        <is>
          <t>2026-03-20T19:08:17-04:00</t>
        </is>
      </c>
      <c r="D384" s="52" t="inlineStr"/>
      <c r="E384" s="52" t="inlineStr">
        <is>
          <t>FL</t>
        </is>
      </c>
      <c r="F384" s="7" t="n">
        <v>11</v>
      </c>
      <c r="G384" s="52" t="inlineStr">
        <is>
          <t>Greenhouse</t>
        </is>
      </c>
      <c r="H384" s="51" t="inlineStr">
        <is>
          <t>Flexible - Any SpaceX Site</t>
        </is>
      </c>
      <c r="I384" s="53">
        <f>HYPERLINK("https://boards.greenhouse.io/spacex/jobs/8403219002?gh_jid=8403219002","↗")</f>
        <v/>
      </c>
      <c r="J384" s="52" t="inlineStr">
        <is>
          <t>No</t>
        </is>
      </c>
      <c r="K384" s="52" t="inlineStr"/>
      <c r="L384" s="51" t="inlineStr"/>
      <c r="M384" s="51" t="inlineStr"/>
      <c r="N384" s="51" t="inlineStr"/>
      <c r="O384" s="51" t="inlineStr"/>
    </row>
    <row r="385" ht="16" customHeight="1">
      <c r="A385" s="51" t="inlineStr">
        <is>
          <t>Summer 2026 Manufacturing  Controls Engineering Intern, Solid Missile Systems</t>
        </is>
      </c>
      <c r="B385" s="51" t="inlineStr">
        <is>
          <t>Ursa Major</t>
        </is>
      </c>
      <c r="C385" s="52" t="inlineStr">
        <is>
          <t>2026-03-16T17:19:46-04:00</t>
        </is>
      </c>
      <c r="D385" s="52" t="inlineStr"/>
      <c r="E385" s="52" t="inlineStr">
        <is>
          <t>CO</t>
        </is>
      </c>
      <c r="F385" s="7" t="n">
        <v>11</v>
      </c>
      <c r="G385" s="52" t="inlineStr">
        <is>
          <t>Greenhouse</t>
        </is>
      </c>
      <c r="H385" s="51" t="inlineStr">
        <is>
          <t>Berthoud, CO</t>
        </is>
      </c>
      <c r="I385" s="53">
        <f>HYPERLINK("https://ursamajor.com/careers/?gh_jid=4673726005","↗")</f>
        <v/>
      </c>
      <c r="J385" s="52" t="inlineStr">
        <is>
          <t>No</t>
        </is>
      </c>
      <c r="K385" s="52" t="inlineStr"/>
      <c r="L385" s="51" t="inlineStr"/>
      <c r="M385" s="51" t="inlineStr"/>
      <c r="N385" s="51" t="inlineStr"/>
      <c r="O385" s="51" t="inlineStr"/>
    </row>
    <row r="386" ht="16" customHeight="1">
      <c r="A386" s="22" t="inlineStr">
        <is>
          <t>Software Engineering Intern, Android (Summer 2026)</t>
        </is>
      </c>
      <c r="B386" s="22" t="inlineStr">
        <is>
          <t>Robinhood</t>
        </is>
      </c>
      <c r="C386" s="23" t="inlineStr">
        <is>
          <t>2026-03-10T17:24:39-04:00</t>
        </is>
      </c>
      <c r="D386" s="23" t="inlineStr"/>
      <c r="E386" s="23" t="inlineStr">
        <is>
          <t>PA</t>
        </is>
      </c>
      <c r="F386" s="7" t="n">
        <v>11</v>
      </c>
      <c r="G386" s="23" t="inlineStr">
        <is>
          <t>Greenhouse</t>
        </is>
      </c>
      <c r="H386" s="22" t="inlineStr">
        <is>
          <t>Menlo Park, CA</t>
        </is>
      </c>
      <c r="I386" s="25">
        <f>HYPERLINK("https://boards.greenhouse.io/robinhood/jobs/7239199?t=gh_src=&amp;gh_jid=7239199","↗")</f>
        <v/>
      </c>
      <c r="J386" s="23" t="inlineStr">
        <is>
          <t>No</t>
        </is>
      </c>
      <c r="K386" s="23" t="inlineStr"/>
      <c r="L386" s="22" t="inlineStr"/>
      <c r="M386" s="22" t="inlineStr"/>
      <c r="N386" s="22" t="inlineStr"/>
      <c r="O386" s="22" t="inlineStr"/>
    </row>
    <row r="387" ht="16" customHeight="1">
      <c r="A387" s="22" t="inlineStr">
        <is>
          <t>Software Engineering Intern, iOS (Summer 2026)</t>
        </is>
      </c>
      <c r="B387" s="22" t="inlineStr">
        <is>
          <t>Robinhood</t>
        </is>
      </c>
      <c r="C387" s="23" t="inlineStr">
        <is>
          <t>2026-03-10T17:24:16-04:00</t>
        </is>
      </c>
      <c r="D387" s="23" t="inlineStr"/>
      <c r="E387" s="23" t="inlineStr">
        <is>
          <t>PA</t>
        </is>
      </c>
      <c r="F387" s="7" t="n">
        <v>11</v>
      </c>
      <c r="G387" s="23" t="inlineStr">
        <is>
          <t>Greenhouse</t>
        </is>
      </c>
      <c r="H387" s="22" t="inlineStr">
        <is>
          <t>Menlo Park, CA</t>
        </is>
      </c>
      <c r="I387" s="25">
        <f>HYPERLINK("https://boards.greenhouse.io/robinhood/jobs/7239268?t=gh_src=&amp;gh_jid=7239268","↗")</f>
        <v/>
      </c>
      <c r="J387" s="23" t="inlineStr">
        <is>
          <t>No</t>
        </is>
      </c>
      <c r="K387" s="23" t="inlineStr"/>
      <c r="L387" s="22" t="inlineStr"/>
      <c r="M387" s="22" t="inlineStr"/>
      <c r="N387" s="22" t="inlineStr"/>
      <c r="O387" s="22" t="inlineStr"/>
    </row>
    <row r="388" ht="16" customHeight="1">
      <c r="A388" s="12" t="inlineStr">
        <is>
          <t>Manager, Software Engineering - Internal Tools</t>
        </is>
      </c>
      <c r="B388" s="12" t="inlineStr">
        <is>
          <t>Figma</t>
        </is>
      </c>
      <c r="C388" s="13" t="inlineStr">
        <is>
          <t>2026-02-05T15:19:57-05:00</t>
        </is>
      </c>
      <c r="D388" s="13" t="inlineStr"/>
      <c r="E388" s="13" t="inlineStr">
        <is>
          <t>NY</t>
        </is>
      </c>
      <c r="F388" s="7" t="n">
        <v>11</v>
      </c>
      <c r="G388" s="13" t="inlineStr">
        <is>
          <t>Greenhouse</t>
        </is>
      </c>
      <c r="H388" s="12" t="inlineStr">
        <is>
          <t>San Francisco, CA • New York, NY • United States</t>
        </is>
      </c>
      <c r="I388" s="15">
        <f>HYPERLINK("https://boards.greenhouse.io/figma/jobs/5792689004?gh_jid=5792689004","↗")</f>
        <v/>
      </c>
      <c r="J388" s="13" t="inlineStr">
        <is>
          <t>No</t>
        </is>
      </c>
      <c r="K388" s="13" t="inlineStr"/>
      <c r="L388" s="12" t="inlineStr"/>
      <c r="M388" s="12" t="inlineStr"/>
      <c r="N388" s="12" t="inlineStr"/>
      <c r="O388" s="12" t="inlineStr"/>
    </row>
    <row r="389" ht="16" customHeight="1">
      <c r="A389" s="8" t="inlineStr">
        <is>
          <t>Senior Software Engineer, Fullstack (Servicing International)</t>
        </is>
      </c>
      <c r="B389" s="8" t="inlineStr">
        <is>
          <t>Affirm</t>
        </is>
      </c>
      <c r="C389" s="9" t="inlineStr">
        <is>
          <t>2026-03-12T12:20:29-04:00</t>
        </is>
      </c>
      <c r="D389" s="9" t="inlineStr"/>
      <c r="E389" s="9" t="inlineStr">
        <is>
          <t>Remote</t>
        </is>
      </c>
      <c r="F389" s="7" t="n">
        <v>11</v>
      </c>
      <c r="G389" s="9" t="inlineStr">
        <is>
          <t>Greenhouse</t>
        </is>
      </c>
      <c r="H389" s="8" t="inlineStr">
        <is>
          <t>Remote Spain</t>
        </is>
      </c>
      <c r="I389" s="10">
        <f>HYPERLINK("https://job-boards.greenhouse.io/affirm/jobs/7118739003","↗")</f>
        <v/>
      </c>
      <c r="J389" s="9" t="inlineStr">
        <is>
          <t>No</t>
        </is>
      </c>
      <c r="K389" s="9" t="inlineStr"/>
      <c r="L389" s="8" t="inlineStr"/>
      <c r="M389" s="8" t="inlineStr"/>
      <c r="N389" s="8" t="inlineStr"/>
      <c r="O389" s="8" t="inlineStr"/>
    </row>
    <row r="390" ht="16" customHeight="1">
      <c r="A390" s="51" t="inlineStr">
        <is>
          <t>Senior Software Engineer - Database Engine Internals</t>
        </is>
      </c>
      <c r="B390" s="51" t="inlineStr">
        <is>
          <t>Databricks</t>
        </is>
      </c>
      <c r="C390" s="52" t="inlineStr">
        <is>
          <t>2026-02-19T14:47:26-05:00</t>
        </is>
      </c>
      <c r="D390" s="52" t="inlineStr"/>
      <c r="E390" s="52" t="inlineStr">
        <is>
          <t>CA</t>
        </is>
      </c>
      <c r="F390" s="7" t="n">
        <v>11</v>
      </c>
      <c r="G390" s="52" t="inlineStr">
        <is>
          <t>Greenhouse</t>
        </is>
      </c>
      <c r="H390" s="51" t="inlineStr">
        <is>
          <t>Mountain View, California</t>
        </is>
      </c>
      <c r="I390" s="53">
        <f>HYPERLINK("https://databricks.com/company/careers/open-positions/job?gh_jid=6544383002","↗")</f>
        <v/>
      </c>
      <c r="J390" s="52" t="inlineStr">
        <is>
          <t>No</t>
        </is>
      </c>
      <c r="K390" s="52" t="inlineStr"/>
      <c r="L390" s="51" t="inlineStr"/>
      <c r="M390" s="51" t="inlineStr"/>
      <c r="N390" s="51" t="inlineStr"/>
      <c r="O390" s="51" t="inlineStr"/>
    </row>
    <row r="391" ht="16" customHeight="1">
      <c r="A391" s="51" t="inlineStr">
        <is>
          <t xml:space="preserve"> Staff Software Engineer - Database Engine Internals</t>
        </is>
      </c>
      <c r="B391" s="51" t="inlineStr">
        <is>
          <t>Databricks</t>
        </is>
      </c>
      <c r="C391" s="52" t="inlineStr">
        <is>
          <t>2026-02-19T14:47:26-05:00</t>
        </is>
      </c>
      <c r="D391" s="52" t="inlineStr"/>
      <c r="E391" s="52" t="inlineStr">
        <is>
          <t>CA</t>
        </is>
      </c>
      <c r="F391" s="7" t="n">
        <v>11</v>
      </c>
      <c r="G391" s="52" t="inlineStr">
        <is>
          <t>Greenhouse</t>
        </is>
      </c>
      <c r="H391" s="51" t="inlineStr">
        <is>
          <t>Mountain View, California</t>
        </is>
      </c>
      <c r="I391" s="53">
        <f>HYPERLINK("https://databricks.com/company/careers/open-positions/job?gh_jid=6544386002","↗")</f>
        <v/>
      </c>
      <c r="J391" s="52" t="inlineStr">
        <is>
          <t>No</t>
        </is>
      </c>
      <c r="K391" s="52" t="inlineStr"/>
      <c r="L391" s="51" t="inlineStr"/>
      <c r="M391" s="51" t="inlineStr"/>
      <c r="N391" s="51" t="inlineStr"/>
      <c r="O391" s="51" t="inlineStr"/>
    </row>
    <row r="392" ht="16" customHeight="1">
      <c r="A392" s="51" t="inlineStr">
        <is>
          <t>Software Engineer Intern (Summer 2026)</t>
        </is>
      </c>
      <c r="B392" s="51" t="inlineStr">
        <is>
          <t>Cloudflare</t>
        </is>
      </c>
      <c r="C392" s="52" t="inlineStr">
        <is>
          <t>2026-03-12T12:52:51-04:00</t>
        </is>
      </c>
      <c r="D392" s="52" t="inlineStr"/>
      <c r="E392" s="52" t="inlineStr"/>
      <c r="F392" s="7" t="n">
        <v>11</v>
      </c>
      <c r="G392" s="52" t="inlineStr">
        <is>
          <t>Greenhouse</t>
        </is>
      </c>
      <c r="H392" s="51" t="inlineStr">
        <is>
          <t>In-Office</t>
        </is>
      </c>
      <c r="I392" s="53">
        <f>HYPERLINK("https://boards.greenhouse.io/cloudflare/jobs/7296929?gh_jid=7296929","↗")</f>
        <v/>
      </c>
      <c r="J392" s="52" t="inlineStr">
        <is>
          <t>No</t>
        </is>
      </c>
      <c r="K392" s="52" t="inlineStr"/>
      <c r="L392" s="51" t="inlineStr"/>
      <c r="M392" s="51" t="inlineStr"/>
      <c r="N392" s="51" t="inlineStr"/>
      <c r="O392" s="51" t="inlineStr"/>
    </row>
    <row r="393" ht="16" customHeight="1">
      <c r="A393" s="51" t="inlineStr">
        <is>
          <t>Software Engineer Intern (Summer 2026)</t>
        </is>
      </c>
      <c r="B393" s="51" t="inlineStr">
        <is>
          <t>Cloudflare</t>
        </is>
      </c>
      <c r="C393" s="52" t="inlineStr">
        <is>
          <t>2026-02-06T10:04:45-05:00</t>
        </is>
      </c>
      <c r="D393" s="52" t="inlineStr"/>
      <c r="E393" s="52" t="inlineStr"/>
      <c r="F393" s="7" t="n">
        <v>11</v>
      </c>
      <c r="G393" s="52" t="inlineStr">
        <is>
          <t>Greenhouse</t>
        </is>
      </c>
      <c r="H393" s="51" t="inlineStr">
        <is>
          <t>In-Office</t>
        </is>
      </c>
      <c r="I393" s="53">
        <f>HYPERLINK("https://boards.greenhouse.io/cloudflare/jobs/7296923?gh_jid=7296923","↗")</f>
        <v/>
      </c>
      <c r="J393" s="52" t="inlineStr">
        <is>
          <t>No</t>
        </is>
      </c>
      <c r="K393" s="52" t="inlineStr"/>
      <c r="L393" s="51" t="inlineStr"/>
      <c r="M393" s="51" t="inlineStr"/>
      <c r="N393" s="51" t="inlineStr"/>
      <c r="O393" s="51" t="inlineStr"/>
    </row>
    <row r="394" ht="16" customHeight="1">
      <c r="A394" s="51" t="inlineStr">
        <is>
          <t>Software Engineer Intern (Summer 2026) - Austin, TX</t>
        </is>
      </c>
      <c r="B394" s="51" t="inlineStr">
        <is>
          <t>Cloudflare</t>
        </is>
      </c>
      <c r="C394" s="52" t="inlineStr">
        <is>
          <t>2026-02-06T10:04:45-05:00</t>
        </is>
      </c>
      <c r="D394" s="52" t="inlineStr"/>
      <c r="E394" s="52" t="inlineStr"/>
      <c r="F394" s="7" t="n">
        <v>11</v>
      </c>
      <c r="G394" s="52" t="inlineStr">
        <is>
          <t>Greenhouse</t>
        </is>
      </c>
      <c r="H394" s="51" t="inlineStr">
        <is>
          <t>In-Office</t>
        </is>
      </c>
      <c r="I394" s="53">
        <f>HYPERLINK("https://boards.greenhouse.io/cloudflare/jobs/7206269?gh_jid=7206269","↗")</f>
        <v/>
      </c>
      <c r="J394" s="52" t="inlineStr">
        <is>
          <t>No</t>
        </is>
      </c>
      <c r="K394" s="52" t="inlineStr"/>
      <c r="L394" s="51" t="inlineStr"/>
      <c r="M394" s="51" t="inlineStr"/>
      <c r="N394" s="51" t="inlineStr"/>
      <c r="O394" s="51" t="inlineStr"/>
    </row>
    <row r="395" ht="16" customHeight="1">
      <c r="A395" s="51" t="inlineStr">
        <is>
          <t>Fall 2026 Intern, Controls</t>
        </is>
      </c>
      <c r="B395" s="51" t="inlineStr">
        <is>
          <t>Kodiak Robotics</t>
        </is>
      </c>
      <c r="C395" s="52" t="inlineStr">
        <is>
          <t>2026-03-06T19:40:04-05:00</t>
        </is>
      </c>
      <c r="D395" s="52" t="inlineStr"/>
      <c r="E395" s="52" t="inlineStr">
        <is>
          <t>CA</t>
        </is>
      </c>
      <c r="F395" s="7" t="n">
        <v>11</v>
      </c>
      <c r="G395" s="52" t="inlineStr">
        <is>
          <t>Greenhouse</t>
        </is>
      </c>
      <c r="H395" s="51" t="inlineStr">
        <is>
          <t>Mountain View, CA</t>
        </is>
      </c>
      <c r="I395" s="53">
        <f>HYPERLINK("https://job-boards.greenhouse.io/kodiak/jobs/4174472009","↗")</f>
        <v/>
      </c>
      <c r="J395" s="52" t="inlineStr">
        <is>
          <t>No</t>
        </is>
      </c>
      <c r="K395" s="52" t="inlineStr"/>
      <c r="L395" s="51" t="inlineStr"/>
      <c r="M395" s="51" t="inlineStr"/>
      <c r="N395" s="51" t="inlineStr"/>
      <c r="O395" s="51" t="inlineStr"/>
    </row>
    <row r="396" ht="16" customHeight="1">
      <c r="A396" s="8" t="inlineStr">
        <is>
          <t>Staff Software Engineer, Backend (Consumer - International)</t>
        </is>
      </c>
      <c r="B396" s="8" t="inlineStr">
        <is>
          <t>Coinbase</t>
        </is>
      </c>
      <c r="C396" s="9" t="inlineStr">
        <is>
          <t>2026-03-17T14:39:34-04:00</t>
        </is>
      </c>
      <c r="D396" s="9" t="inlineStr"/>
      <c r="E396" s="9" t="inlineStr">
        <is>
          <t>Remote</t>
        </is>
      </c>
      <c r="F396" s="7" t="n">
        <v>10</v>
      </c>
      <c r="G396" s="9" t="inlineStr">
        <is>
          <t>Greenhouse</t>
        </is>
      </c>
      <c r="H396" s="8" t="inlineStr">
        <is>
          <t>Remote - Canada</t>
        </is>
      </c>
      <c r="I396" s="10">
        <f>HYPERLINK("https://www.coinbase.com/careers/positions/7589139?gh_jid=7589139","↗")</f>
        <v/>
      </c>
      <c r="J396" s="9" t="inlineStr">
        <is>
          <t>No</t>
        </is>
      </c>
      <c r="K396" s="9" t="inlineStr"/>
      <c r="L396" s="8" t="inlineStr"/>
      <c r="M396" s="8" t="inlineStr"/>
      <c r="N396" s="8" t="inlineStr"/>
      <c r="O396" s="8" t="inlineStr"/>
    </row>
    <row r="397" ht="16" customHeight="1">
      <c r="A397" s="51" t="inlineStr">
        <is>
          <t>Summer 2026 Intern Onboard Infrastructure Engineer</t>
        </is>
      </c>
      <c r="B397" s="51" t="inlineStr">
        <is>
          <t>Kodiak Robotics</t>
        </is>
      </c>
      <c r="C397" s="52" t="inlineStr">
        <is>
          <t>2026-03-17T12:38:47-04:00</t>
        </is>
      </c>
      <c r="D397" s="52" t="inlineStr"/>
      <c r="E397" s="52" t="inlineStr">
        <is>
          <t>CA</t>
        </is>
      </c>
      <c r="F397" s="7" t="n">
        <v>10</v>
      </c>
      <c r="G397" s="52" t="inlineStr">
        <is>
          <t>Greenhouse</t>
        </is>
      </c>
      <c r="H397" s="51" t="inlineStr">
        <is>
          <t>Mountain View, CA</t>
        </is>
      </c>
      <c r="I397" s="53">
        <f>HYPERLINK("https://job-boards.greenhouse.io/kodiak/jobs/4024635009","↗")</f>
        <v/>
      </c>
      <c r="J397" s="52" t="inlineStr">
        <is>
          <t>No</t>
        </is>
      </c>
      <c r="K397" s="52" t="inlineStr"/>
      <c r="L397" s="51" t="inlineStr"/>
      <c r="M397" s="51" t="inlineStr"/>
      <c r="N397" s="51" t="inlineStr"/>
      <c r="O397" s="51" t="inlineStr"/>
    </row>
    <row r="398" ht="16" customHeight="1">
      <c r="A398" s="51" t="inlineStr">
        <is>
          <t>Software Engineer, AI Platform - Intern</t>
        </is>
      </c>
      <c r="B398" s="51" t="inlineStr">
        <is>
          <t>Nuro</t>
        </is>
      </c>
      <c r="C398" s="52" t="inlineStr">
        <is>
          <t>2026-02-10T13:24:34-05:00</t>
        </is>
      </c>
      <c r="D398" s="52" t="inlineStr"/>
      <c r="E398" s="52" t="inlineStr">
        <is>
          <t>CA</t>
        </is>
      </c>
      <c r="F398" s="7" t="n">
        <v>9</v>
      </c>
      <c r="G398" s="52" t="inlineStr">
        <is>
          <t>Greenhouse</t>
        </is>
      </c>
      <c r="H398" s="51" t="inlineStr">
        <is>
          <t>Mountain View, California (HQ)</t>
        </is>
      </c>
      <c r="I398" s="53">
        <f>HYPERLINK("https://nuro.ai/careersitem?gh_jid=7351061","↗")</f>
        <v/>
      </c>
      <c r="J398" s="52" t="inlineStr">
        <is>
          <t>No</t>
        </is>
      </c>
      <c r="K398" s="52" t="inlineStr"/>
      <c r="L398" s="51" t="inlineStr"/>
      <c r="M398" s="51" t="inlineStr"/>
      <c r="N398" s="51" t="inlineStr"/>
      <c r="O398" s="51" t="inlineStr"/>
    </row>
    <row r="399" ht="16" customHeight="1">
      <c r="A399" s="8" t="inlineStr">
        <is>
          <t>Senior Software Engineer, Fullstack (Servicing International)</t>
        </is>
      </c>
      <c r="B399" s="8" t="inlineStr">
        <is>
          <t>Affirm</t>
        </is>
      </c>
      <c r="C399" s="9" t="inlineStr">
        <is>
          <t>2026-03-12T12:20:06-04:00</t>
        </is>
      </c>
      <c r="D399" s="9" t="inlineStr"/>
      <c r="E399" s="9" t="inlineStr">
        <is>
          <t>Remote</t>
        </is>
      </c>
      <c r="F399" s="7" t="n">
        <v>9</v>
      </c>
      <c r="G399" s="9" t="inlineStr">
        <is>
          <t>Greenhouse</t>
        </is>
      </c>
      <c r="H399" s="8" t="inlineStr">
        <is>
          <t>Remote Poland</t>
        </is>
      </c>
      <c r="I399" s="10">
        <f>HYPERLINK("https://job-boards.greenhouse.io/affirm/jobs/7118737003","↗")</f>
        <v/>
      </c>
      <c r="J399" s="9" t="inlineStr">
        <is>
          <t>No</t>
        </is>
      </c>
      <c r="K399" s="9" t="inlineStr"/>
      <c r="L399" s="8" t="inlineStr"/>
      <c r="M399" s="8" t="inlineStr"/>
      <c r="N399" s="8" t="inlineStr"/>
      <c r="O399" s="8" t="inlineStr"/>
    </row>
    <row r="400" ht="16" customHeight="1">
      <c r="A400" s="51" t="inlineStr">
        <is>
          <t>Senior Software Engineer - Internal Tools &amp; Productivity</t>
        </is>
      </c>
      <c r="B400" s="51" t="inlineStr">
        <is>
          <t>Scale AI</t>
        </is>
      </c>
      <c r="C400" s="52" t="inlineStr">
        <is>
          <t>2026-03-12T12:49:04-04:00</t>
        </is>
      </c>
      <c r="D400" s="52" t="inlineStr"/>
      <c r="E400" s="52" t="inlineStr">
        <is>
          <t>CA</t>
        </is>
      </c>
      <c r="F400" s="7" t="n">
        <v>9</v>
      </c>
      <c r="G400" s="52" t="inlineStr">
        <is>
          <t>Greenhouse</t>
        </is>
      </c>
      <c r="H400" s="51" t="inlineStr">
        <is>
          <t>San Francisco, CA</t>
        </is>
      </c>
      <c r="I400" s="53">
        <f>HYPERLINK("https://job-boards.greenhouse.io/scaleai/jobs/4654897005","↗")</f>
        <v/>
      </c>
      <c r="J400" s="52" t="inlineStr">
        <is>
          <t>No</t>
        </is>
      </c>
      <c r="K400" s="52" t="inlineStr"/>
      <c r="L400" s="51" t="inlineStr"/>
      <c r="M400" s="51" t="inlineStr"/>
      <c r="N400" s="51" t="inlineStr"/>
      <c r="O400" s="51" t="inlineStr"/>
    </row>
    <row r="401" ht="16" customHeight="1">
      <c r="A401" s="51" t="inlineStr">
        <is>
          <t>Senior Software Engineer - Database Engine Internals</t>
        </is>
      </c>
      <c r="B401" s="51" t="inlineStr">
        <is>
          <t>Databricks</t>
        </is>
      </c>
      <c r="C401" s="52" t="inlineStr">
        <is>
          <t>2026-02-19T14:47:26-05:00</t>
        </is>
      </c>
      <c r="D401" s="52" t="inlineStr"/>
      <c r="E401" s="52" t="inlineStr">
        <is>
          <t>CA</t>
        </is>
      </c>
      <c r="F401" s="7" t="n">
        <v>9</v>
      </c>
      <c r="G401" s="52" t="inlineStr">
        <is>
          <t>Greenhouse</t>
        </is>
      </c>
      <c r="H401" s="51" t="inlineStr">
        <is>
          <t>San Francisco, California</t>
        </is>
      </c>
      <c r="I401" s="53">
        <f>HYPERLINK("https://databricks.com/company/careers/open-positions/job?gh_jid=5048461002","↗")</f>
        <v/>
      </c>
      <c r="J401" s="52" t="inlineStr">
        <is>
          <t>No</t>
        </is>
      </c>
      <c r="K401" s="52" t="inlineStr"/>
      <c r="L401" s="51" t="inlineStr"/>
      <c r="M401" s="51" t="inlineStr"/>
      <c r="N401" s="51" t="inlineStr"/>
      <c r="O401" s="51" t="inlineStr"/>
    </row>
    <row r="402" ht="16" customHeight="1">
      <c r="A402" s="51" t="inlineStr">
        <is>
          <t>Senior Software Engineer - Database Engine Internals</t>
        </is>
      </c>
      <c r="B402" s="51" t="inlineStr">
        <is>
          <t>Databricks</t>
        </is>
      </c>
      <c r="C402" s="52" t="inlineStr">
        <is>
          <t>2026-02-19T14:47:26-05:00</t>
        </is>
      </c>
      <c r="D402" s="52" t="inlineStr"/>
      <c r="E402" s="52" t="inlineStr"/>
      <c r="F402" s="7" t="n">
        <v>9</v>
      </c>
      <c r="G402" s="52" t="inlineStr">
        <is>
          <t>Greenhouse</t>
        </is>
      </c>
      <c r="H402" s="51" t="inlineStr">
        <is>
          <t>Belgrade, Serbia</t>
        </is>
      </c>
      <c r="I402" s="53">
        <f>HYPERLINK("https://databricks.com/company/careers/open-positions/job?gh_jid=8012809002","↗")</f>
        <v/>
      </c>
      <c r="J402" s="52" t="inlineStr">
        <is>
          <t>No</t>
        </is>
      </c>
      <c r="K402" s="52" t="inlineStr"/>
      <c r="L402" s="51" t="inlineStr"/>
      <c r="M402" s="51" t="inlineStr"/>
      <c r="N402" s="51" t="inlineStr"/>
      <c r="O402" s="51" t="inlineStr"/>
    </row>
    <row r="403" ht="16" customHeight="1">
      <c r="A403" s="51" t="inlineStr">
        <is>
          <t>Software Engineer - Database Engine Internals</t>
        </is>
      </c>
      <c r="B403" s="51" t="inlineStr">
        <is>
          <t>Databricks</t>
        </is>
      </c>
      <c r="C403" s="52" t="inlineStr">
        <is>
          <t>2026-02-19T14:47:26-05:00</t>
        </is>
      </c>
      <c r="D403" s="52" t="inlineStr"/>
      <c r="E403" s="52" t="inlineStr"/>
      <c r="F403" s="7" t="n">
        <v>9</v>
      </c>
      <c r="G403" s="52" t="inlineStr">
        <is>
          <t>Greenhouse</t>
        </is>
      </c>
      <c r="H403" s="51" t="inlineStr">
        <is>
          <t>Belgrade, Serbia</t>
        </is>
      </c>
      <c r="I403" s="53">
        <f>HYPERLINK("https://databricks.com/company/careers/open-positions/job?gh_jid=8012658002","↗")</f>
        <v/>
      </c>
      <c r="J403" s="52" t="inlineStr">
        <is>
          <t>No</t>
        </is>
      </c>
      <c r="K403" s="52" t="inlineStr"/>
      <c r="L403" s="51" t="inlineStr"/>
      <c r="M403" s="51" t="inlineStr"/>
      <c r="N403" s="51" t="inlineStr"/>
      <c r="O403" s="51" t="inlineStr"/>
    </row>
    <row r="404" ht="16" customHeight="1">
      <c r="A404" s="51" t="inlineStr">
        <is>
          <t>Staff Software Engineer - Database Engine Internals</t>
        </is>
      </c>
      <c r="B404" s="51" t="inlineStr">
        <is>
          <t>Databricks</t>
        </is>
      </c>
      <c r="C404" s="52" t="inlineStr">
        <is>
          <t>2026-02-19T14:47:26-05:00</t>
        </is>
      </c>
      <c r="D404" s="52" t="inlineStr"/>
      <c r="E404" s="52" t="inlineStr">
        <is>
          <t>CA</t>
        </is>
      </c>
      <c r="F404" s="7" t="n">
        <v>9</v>
      </c>
      <c r="G404" s="52" t="inlineStr">
        <is>
          <t>Greenhouse</t>
        </is>
      </c>
      <c r="H404" s="51" t="inlineStr">
        <is>
          <t>San Francisco, California</t>
        </is>
      </c>
      <c r="I404" s="53">
        <f>HYPERLINK("https://databricks.com/company/careers/open-positions/job?gh_jid=5646866002","↗")</f>
        <v/>
      </c>
      <c r="J404" s="52" t="inlineStr">
        <is>
          <t>No</t>
        </is>
      </c>
      <c r="K404" s="52" t="inlineStr"/>
      <c r="L404" s="51" t="inlineStr"/>
      <c r="M404" s="51" t="inlineStr"/>
      <c r="N404" s="51" t="inlineStr"/>
      <c r="O404" s="51" t="inlineStr"/>
    </row>
    <row r="405" ht="16" customHeight="1">
      <c r="A405" s="51" t="inlineStr">
        <is>
          <t>Staff Software Engineer - Database Engine Internals</t>
        </is>
      </c>
      <c r="B405" s="51" t="inlineStr">
        <is>
          <t>Databricks</t>
        </is>
      </c>
      <c r="C405" s="52" t="inlineStr">
        <is>
          <t>2026-02-19T14:47:26-05:00</t>
        </is>
      </c>
      <c r="D405" s="52" t="inlineStr"/>
      <c r="E405" s="52" t="inlineStr"/>
      <c r="F405" s="7" t="n">
        <v>9</v>
      </c>
      <c r="G405" s="52" t="inlineStr">
        <is>
          <t>Greenhouse</t>
        </is>
      </c>
      <c r="H405" s="51" t="inlineStr">
        <is>
          <t>Belgrade, Serbia</t>
        </is>
      </c>
      <c r="I405" s="53">
        <f>HYPERLINK("https://databricks.com/company/careers/open-positions/job?gh_jid=8012818002","↗")</f>
        <v/>
      </c>
      <c r="J405" s="52" t="inlineStr">
        <is>
          <t>No</t>
        </is>
      </c>
      <c r="K405" s="52" t="inlineStr"/>
      <c r="L405" s="51" t="inlineStr"/>
      <c r="M405" s="51" t="inlineStr"/>
      <c r="N405" s="51" t="inlineStr"/>
      <c r="O405" s="51" t="inlineStr"/>
    </row>
    <row r="406" ht="16" customHeight="1">
      <c r="A406" s="12" t="inlineStr">
        <is>
          <t>Software Engineer, Internship - Infrastructure</t>
        </is>
      </c>
      <c r="B406" s="12" t="inlineStr">
        <is>
          <t>Palantir</t>
        </is>
      </c>
      <c r="C406" s="13" t="inlineStr">
        <is>
          <t>1750950062839</t>
        </is>
      </c>
      <c r="D406" s="13" t="inlineStr"/>
      <c r="E406" s="13" t="inlineStr">
        <is>
          <t>NY</t>
        </is>
      </c>
      <c r="F406" s="7" t="n">
        <v>9</v>
      </c>
      <c r="G406" s="13" t="inlineStr">
        <is>
          <t>Lever</t>
        </is>
      </c>
      <c r="H406" s="12" t="inlineStr">
        <is>
          <t>New York, NY</t>
        </is>
      </c>
      <c r="I406" s="15">
        <f>HYPERLINK("https://jobs.lever.co/palantir/b229baac-494b-4a0d-9a13-2e38806e06f3","↗")</f>
        <v/>
      </c>
      <c r="J406" s="13" t="inlineStr">
        <is>
          <t>No</t>
        </is>
      </c>
      <c r="K406" s="13" t="inlineStr"/>
      <c r="L406" s="12" t="inlineStr"/>
      <c r="M406" s="12" t="inlineStr"/>
      <c r="N406" s="12" t="inlineStr"/>
      <c r="O406" s="12" t="inlineStr"/>
    </row>
    <row r="407" ht="16" customHeight="1">
      <c r="A407" s="22" t="inlineStr">
        <is>
          <t>Software Engineer, Internship - Infrastructure</t>
        </is>
      </c>
      <c r="B407" s="22" t="inlineStr">
        <is>
          <t>Palantir</t>
        </is>
      </c>
      <c r="C407" s="23" t="inlineStr">
        <is>
          <t>1755596923334</t>
        </is>
      </c>
      <c r="D407" s="23" t="inlineStr"/>
      <c r="E407" s="23" t="inlineStr">
        <is>
          <t>PA</t>
        </is>
      </c>
      <c r="F407" s="7" t="n">
        <v>9</v>
      </c>
      <c r="G407" s="23" t="inlineStr">
        <is>
          <t>Lever</t>
        </is>
      </c>
      <c r="H407" s="22" t="inlineStr">
        <is>
          <t>Palo Alto, CA</t>
        </is>
      </c>
      <c r="I407" s="25">
        <f>HYPERLINK("https://jobs.lever.co/palantir/f221738b-e97c-4ce3-a12a-17ada2b855e4","↗")</f>
        <v/>
      </c>
      <c r="J407" s="23" t="inlineStr">
        <is>
          <t>No</t>
        </is>
      </c>
      <c r="K407" s="23" t="inlineStr"/>
      <c r="L407" s="22" t="inlineStr"/>
      <c r="M407" s="22" t="inlineStr"/>
      <c r="N407" s="22" t="inlineStr"/>
      <c r="O407" s="22" t="inlineStr"/>
    </row>
    <row r="408" ht="16" customHeight="1">
      <c r="A408" s="12" t="inlineStr">
        <is>
          <t>Software Engineer, Internship - Production Infrastructure</t>
        </is>
      </c>
      <c r="B408" s="12" t="inlineStr">
        <is>
          <t>Palantir</t>
        </is>
      </c>
      <c r="C408" s="13" t="inlineStr">
        <is>
          <t>1750968274819</t>
        </is>
      </c>
      <c r="D408" s="13" t="inlineStr"/>
      <c r="E408" s="13" t="inlineStr">
        <is>
          <t>NY</t>
        </is>
      </c>
      <c r="F408" s="7" t="n">
        <v>9</v>
      </c>
      <c r="G408" s="13" t="inlineStr">
        <is>
          <t>Lever</t>
        </is>
      </c>
      <c r="H408" s="12" t="inlineStr">
        <is>
          <t>New York, NY</t>
        </is>
      </c>
      <c r="I408" s="15">
        <f>HYPERLINK("https://jobs.lever.co/palantir/37964982-9b4c-471e-a1d8-fb8f45d7f116","↗")</f>
        <v/>
      </c>
      <c r="J408" s="13" t="inlineStr">
        <is>
          <t>No</t>
        </is>
      </c>
      <c r="K408" s="13" t="inlineStr"/>
      <c r="L408" s="12" t="inlineStr"/>
      <c r="M408" s="12" t="inlineStr"/>
      <c r="N408" s="12" t="inlineStr"/>
      <c r="O408" s="12" t="inlineStr"/>
    </row>
    <row r="409" ht="16" customHeight="1">
      <c r="A409" s="54" t="inlineStr">
        <is>
          <t>Software Engineer Intern – Test Infrastructures</t>
        </is>
      </c>
      <c r="B409" s="54" t="inlineStr">
        <is>
          <t>Zoox</t>
        </is>
      </c>
      <c r="C409" s="55" t="inlineStr">
        <is>
          <t>1766457330625</t>
        </is>
      </c>
      <c r="D409" s="55" t="inlineStr"/>
      <c r="E409" s="55" t="inlineStr">
        <is>
          <t>CA</t>
        </is>
      </c>
      <c r="F409" s="7" t="n">
        <v>9</v>
      </c>
      <c r="G409" s="55" t="inlineStr">
        <is>
          <t>Lever</t>
        </is>
      </c>
      <c r="H409" s="54" t="inlineStr">
        <is>
          <t>Foster City, CA</t>
        </is>
      </c>
      <c r="I409" s="56">
        <f>HYPERLINK("https://jobs.lever.co/zoox/1fcd743b-6bba-4e6e-b926-a164fff73654","↗")</f>
        <v/>
      </c>
      <c r="J409" s="55" t="inlineStr">
        <is>
          <t>No</t>
        </is>
      </c>
      <c r="K409" s="55" t="inlineStr"/>
      <c r="L409" s="54" t="inlineStr"/>
      <c r="M409" s="54" t="inlineStr"/>
      <c r="N409" s="54" t="inlineStr"/>
      <c r="O409" s="54" t="inlineStr"/>
    </row>
    <row r="410" ht="16" customHeight="1">
      <c r="A410" s="54" t="inlineStr">
        <is>
          <t>Forward Deployed Software Engineer, Internship - US Government</t>
        </is>
      </c>
      <c r="B410" s="54" t="inlineStr">
        <is>
          <t>Palantir</t>
        </is>
      </c>
      <c r="C410" s="55" t="inlineStr">
        <is>
          <t>1765491974632</t>
        </is>
      </c>
      <c r="D410" s="55" t="inlineStr"/>
      <c r="E410" s="55" t="inlineStr"/>
      <c r="F410" s="7" t="n">
        <v>9</v>
      </c>
      <c r="G410" s="55" t="inlineStr">
        <is>
          <t>Lever</t>
        </is>
      </c>
      <c r="H410" s="54" t="inlineStr">
        <is>
          <t>Honolulu, HI</t>
        </is>
      </c>
      <c r="I410" s="56">
        <f>HYPERLINK("https://jobs.lever.co/palantir/315f695d-04d1-4a9a-848e-cb2bec7a997e","↗")</f>
        <v/>
      </c>
      <c r="J410" s="55" t="inlineStr">
        <is>
          <t>No</t>
        </is>
      </c>
      <c r="K410" s="55" t="inlineStr"/>
      <c r="L410" s="54" t="inlineStr"/>
      <c r="M410" s="54" t="inlineStr"/>
      <c r="N410" s="54" t="inlineStr"/>
      <c r="O410" s="54" t="inlineStr"/>
    </row>
    <row r="411" ht="16" customHeight="1">
      <c r="A411" s="54" t="inlineStr">
        <is>
          <t>Software Engineer, Internship - Production Infrastructure</t>
        </is>
      </c>
      <c r="B411" s="54" t="inlineStr">
        <is>
          <t>Palantir</t>
        </is>
      </c>
      <c r="C411" s="55" t="inlineStr">
        <is>
          <t>1750968313023</t>
        </is>
      </c>
      <c r="D411" s="55" t="inlineStr"/>
      <c r="E411" s="55" t="inlineStr">
        <is>
          <t>WA</t>
        </is>
      </c>
      <c r="F411" s="7" t="n">
        <v>9</v>
      </c>
      <c r="G411" s="55" t="inlineStr">
        <is>
          <t>Lever</t>
        </is>
      </c>
      <c r="H411" s="54" t="inlineStr">
        <is>
          <t>Seattle, WA</t>
        </is>
      </c>
      <c r="I411" s="56">
        <f>HYPERLINK("https://jobs.lever.co/palantir/373367a9-3160-49d8-b7af-2efec062fad1","↗")</f>
        <v/>
      </c>
      <c r="J411" s="55" t="inlineStr">
        <is>
          <t>No</t>
        </is>
      </c>
      <c r="K411" s="55" t="inlineStr"/>
      <c r="L411" s="54" t="inlineStr"/>
      <c r="M411" s="54" t="inlineStr"/>
      <c r="N411" s="54" t="inlineStr"/>
      <c r="O411" s="54" t="inlineStr"/>
    </row>
    <row r="412" ht="16" customHeight="1">
      <c r="A412" s="54" t="inlineStr">
        <is>
          <t>Software Engineer, Internship - Production Infrastructure</t>
        </is>
      </c>
      <c r="B412" s="54" t="inlineStr">
        <is>
          <t>Palantir</t>
        </is>
      </c>
      <c r="C412" s="55" t="inlineStr">
        <is>
          <t>1755596487314</t>
        </is>
      </c>
      <c r="D412" s="55" t="inlineStr"/>
      <c r="E412" s="55" t="inlineStr">
        <is>
          <t>WA</t>
        </is>
      </c>
      <c r="F412" s="7" t="n">
        <v>9</v>
      </c>
      <c r="G412" s="55" t="inlineStr">
        <is>
          <t>Lever</t>
        </is>
      </c>
      <c r="H412" s="54" t="inlineStr">
        <is>
          <t>Washington, D.C.</t>
        </is>
      </c>
      <c r="I412" s="56">
        <f>HYPERLINK("https://jobs.lever.co/palantir/3ab9e715-1ea9-4c6c-ad50-7340eac14e86","↗")</f>
        <v/>
      </c>
      <c r="J412" s="55" t="inlineStr">
        <is>
          <t>No</t>
        </is>
      </c>
      <c r="K412" s="55" t="inlineStr"/>
      <c r="L412" s="54" t="inlineStr"/>
      <c r="M412" s="54" t="inlineStr"/>
      <c r="N412" s="54" t="inlineStr"/>
      <c r="O412" s="54" t="inlineStr"/>
    </row>
    <row r="413" ht="16" customHeight="1">
      <c r="A413" s="51" t="inlineStr">
        <is>
          <t>Fall 2026 Intern, Perception</t>
        </is>
      </c>
      <c r="B413" s="51" t="inlineStr">
        <is>
          <t>Kodiak Robotics</t>
        </is>
      </c>
      <c r="C413" s="52" t="inlineStr">
        <is>
          <t>2026-03-06T19:40:45-05:00</t>
        </is>
      </c>
      <c r="D413" s="52" t="inlineStr"/>
      <c r="E413" s="52" t="inlineStr">
        <is>
          <t>CA</t>
        </is>
      </c>
      <c r="F413" s="7" t="n">
        <v>8</v>
      </c>
      <c r="G413" s="52" t="inlineStr">
        <is>
          <t>Greenhouse</t>
        </is>
      </c>
      <c r="H413" s="51" t="inlineStr">
        <is>
          <t>Mountain View, CA</t>
        </is>
      </c>
      <c r="I413" s="53">
        <f>HYPERLINK("https://job-boards.greenhouse.io/kodiak/jobs/4174533009","↗")</f>
        <v/>
      </c>
      <c r="J413" s="52" t="inlineStr">
        <is>
          <t>No</t>
        </is>
      </c>
      <c r="K413" s="52" t="inlineStr"/>
      <c r="L413" s="51" t="inlineStr"/>
      <c r="M413" s="51" t="inlineStr"/>
      <c r="N413" s="51" t="inlineStr"/>
      <c r="O413" s="51" t="inlineStr"/>
    </row>
    <row r="414" ht="16" customHeight="1">
      <c r="A414" s="51" t="inlineStr">
        <is>
          <t>Fall 2026 Intern, Motion Planning</t>
        </is>
      </c>
      <c r="B414" s="51" t="inlineStr">
        <is>
          <t>Kodiak Robotics</t>
        </is>
      </c>
      <c r="C414" s="52" t="inlineStr">
        <is>
          <t>2026-03-06T19:39:48-05:00</t>
        </is>
      </c>
      <c r="D414" s="52" t="inlineStr"/>
      <c r="E414" s="52" t="inlineStr">
        <is>
          <t>CA</t>
        </is>
      </c>
      <c r="F414" s="7" t="n">
        <v>8</v>
      </c>
      <c r="G414" s="52" t="inlineStr">
        <is>
          <t>Greenhouse</t>
        </is>
      </c>
      <c r="H414" s="51" t="inlineStr">
        <is>
          <t>Mountain View, CA</t>
        </is>
      </c>
      <c r="I414" s="53">
        <f>HYPERLINK("https://job-boards.greenhouse.io/kodiak/jobs/4174475009","↗")</f>
        <v/>
      </c>
      <c r="J414" s="52" t="inlineStr">
        <is>
          <t>No</t>
        </is>
      </c>
      <c r="K414" s="52" t="inlineStr"/>
      <c r="L414" s="51" t="inlineStr"/>
      <c r="M414" s="51" t="inlineStr"/>
      <c r="N414" s="51" t="inlineStr"/>
      <c r="O414" s="51" t="inlineStr"/>
    </row>
    <row r="415" ht="16" customHeight="1">
      <c r="A415" s="51" t="inlineStr">
        <is>
          <t>Data Engineer Intern (Summer 2026)</t>
        </is>
      </c>
      <c r="B415" s="51" t="inlineStr">
        <is>
          <t>Cloudflare</t>
        </is>
      </c>
      <c r="C415" s="52" t="inlineStr">
        <is>
          <t>2026-02-06T10:04:45-05:00</t>
        </is>
      </c>
      <c r="D415" s="52" t="inlineStr"/>
      <c r="E415" s="52" t="inlineStr"/>
      <c r="F415" s="7" t="n">
        <v>8</v>
      </c>
      <c r="G415" s="52" t="inlineStr">
        <is>
          <t>Greenhouse</t>
        </is>
      </c>
      <c r="H415" s="51" t="inlineStr">
        <is>
          <t>In-Office</t>
        </is>
      </c>
      <c r="I415" s="53">
        <f>HYPERLINK("https://boards.greenhouse.io/cloudflare/jobs/7374706?gh_jid=7374706","↗")</f>
        <v/>
      </c>
      <c r="J415" s="52" t="inlineStr">
        <is>
          <t>No</t>
        </is>
      </c>
      <c r="K415" s="52" t="inlineStr"/>
      <c r="L415" s="51" t="inlineStr"/>
      <c r="M415" s="51" t="inlineStr"/>
      <c r="N415" s="51" t="inlineStr"/>
      <c r="O415" s="51" t="inlineStr"/>
    </row>
    <row r="416" ht="16" customHeight="1">
      <c r="A416" s="54" t="inlineStr">
        <is>
          <t>Machine Learning Engineer Intern, Autonomy Behavior</t>
        </is>
      </c>
      <c r="B416" s="54" t="inlineStr">
        <is>
          <t>Zoox</t>
        </is>
      </c>
      <c r="C416" s="55" t="inlineStr">
        <is>
          <t>1763505525389</t>
        </is>
      </c>
      <c r="D416" s="55" t="inlineStr"/>
      <c r="E416" s="55" t="inlineStr">
        <is>
          <t>CA</t>
        </is>
      </c>
      <c r="F416" s="7" t="n">
        <v>8</v>
      </c>
      <c r="G416" s="55" t="inlineStr">
        <is>
          <t>Lever</t>
        </is>
      </c>
      <c r="H416" s="54" t="inlineStr">
        <is>
          <t>Foster City, CA</t>
        </is>
      </c>
      <c r="I416" s="56">
        <f>HYPERLINK("https://jobs.lever.co/zoox/74ef6bb8-ec8a-4c6c-8618-544717f40e2d","↗")</f>
        <v/>
      </c>
      <c r="J416" s="55" t="inlineStr">
        <is>
          <t>No</t>
        </is>
      </c>
      <c r="K416" s="55" t="inlineStr"/>
      <c r="L416" s="54" t="inlineStr"/>
      <c r="M416" s="54" t="inlineStr"/>
      <c r="N416" s="54" t="inlineStr"/>
      <c r="O416" s="54" t="inlineStr"/>
    </row>
    <row r="417" ht="16" customHeight="1">
      <c r="A417" s="51" t="inlineStr">
        <is>
          <t xml:space="preserve">[Summer 2026] Software Engineer, Community Apprenticeship - Intern </t>
        </is>
      </c>
      <c r="B417" s="51" t="inlineStr">
        <is>
          <t>Roblox</t>
        </is>
      </c>
      <c r="C417" s="52" t="inlineStr">
        <is>
          <t>2026-03-06T11:26:15-05:00</t>
        </is>
      </c>
      <c r="D417" s="52" t="inlineStr"/>
      <c r="E417" s="52" t="inlineStr">
        <is>
          <t>CA</t>
        </is>
      </c>
      <c r="F417" s="57" t="n">
        <v>7</v>
      </c>
      <c r="G417" s="52" t="inlineStr">
        <is>
          <t>Greenhouse</t>
        </is>
      </c>
      <c r="H417" s="51" t="inlineStr">
        <is>
          <t>San Mateo, CA, United States</t>
        </is>
      </c>
      <c r="I417" s="53">
        <f>HYPERLINK("https://careers.roblox.com/jobs/7654991?gh_jid=7654991","↗")</f>
        <v/>
      </c>
      <c r="J417" s="52" t="inlineStr">
        <is>
          <t>No</t>
        </is>
      </c>
      <c r="K417" s="52" t="inlineStr"/>
      <c r="L417" s="51" t="inlineStr"/>
      <c r="M417" s="51" t="inlineStr"/>
      <c r="N417" s="51" t="inlineStr"/>
      <c r="O417" s="51" t="inlineStr"/>
    </row>
    <row r="418" ht="16" customHeight="1">
      <c r="A418" s="51" t="inlineStr">
        <is>
          <t>Software Engineer, Intern</t>
        </is>
      </c>
      <c r="B418" s="51" t="inlineStr">
        <is>
          <t>Stripe</t>
        </is>
      </c>
      <c r="C418" s="52" t="inlineStr">
        <is>
          <t>2026-03-13T19:00:45-04:00</t>
        </is>
      </c>
      <c r="D418" s="52" t="inlineStr"/>
      <c r="E418" s="52" t="inlineStr"/>
      <c r="F418" s="57" t="n">
        <v>7</v>
      </c>
      <c r="G418" s="52" t="inlineStr">
        <is>
          <t>Greenhouse</t>
        </is>
      </c>
      <c r="H418" s="51" t="inlineStr">
        <is>
          <t>Dublin</t>
        </is>
      </c>
      <c r="I418" s="53">
        <f>HYPERLINK("https://stripe.com/jobs/search?gh_jid=7206494","↗")</f>
        <v/>
      </c>
      <c r="J418" s="52" t="inlineStr">
        <is>
          <t>No</t>
        </is>
      </c>
      <c r="K418" s="52" t="inlineStr"/>
      <c r="L418" s="51" t="inlineStr"/>
      <c r="M418" s="51" t="inlineStr"/>
      <c r="N418" s="51" t="inlineStr"/>
      <c r="O418" s="51" t="inlineStr"/>
    </row>
    <row r="419" ht="16" customHeight="1">
      <c r="A419" s="51" t="inlineStr">
        <is>
          <t>Software Engineer, Intern</t>
        </is>
      </c>
      <c r="B419" s="51" t="inlineStr">
        <is>
          <t>Stripe</t>
        </is>
      </c>
      <c r="C419" s="52" t="inlineStr">
        <is>
          <t>2026-03-13T19:00:45-04:00</t>
        </is>
      </c>
      <c r="D419" s="52" t="inlineStr"/>
      <c r="E419" s="52" t="inlineStr"/>
      <c r="F419" s="57" t="n">
        <v>7</v>
      </c>
      <c r="G419" s="52" t="inlineStr">
        <is>
          <t>Greenhouse</t>
        </is>
      </c>
      <c r="H419" s="51" t="inlineStr">
        <is>
          <t>Singapore</t>
        </is>
      </c>
      <c r="I419" s="53">
        <f>HYPERLINK("https://stripe.com/jobs/search?gh_jid=7206401","↗")</f>
        <v/>
      </c>
      <c r="J419" s="52" t="inlineStr">
        <is>
          <t>No</t>
        </is>
      </c>
      <c r="K419" s="52" t="inlineStr"/>
      <c r="L419" s="51" t="inlineStr"/>
      <c r="M419" s="51" t="inlineStr"/>
      <c r="N419" s="51" t="inlineStr"/>
      <c r="O419" s="51" t="inlineStr"/>
    </row>
    <row r="420" ht="16" customHeight="1">
      <c r="A420" s="51" t="inlineStr">
        <is>
          <t>Software Engineer, Internal Systems</t>
        </is>
      </c>
      <c r="B420" s="51" t="inlineStr">
        <is>
          <t>Stripe</t>
        </is>
      </c>
      <c r="C420" s="52" t="inlineStr">
        <is>
          <t>2026-03-13T19:00:45-04:00</t>
        </is>
      </c>
      <c r="D420" s="52" t="inlineStr"/>
      <c r="E420" s="52" t="inlineStr"/>
      <c r="F420" s="57" t="n">
        <v>7</v>
      </c>
      <c r="G420" s="52" t="inlineStr">
        <is>
          <t>Greenhouse</t>
        </is>
      </c>
      <c r="H420" s="51" t="inlineStr">
        <is>
          <t>Bengaluru, India</t>
        </is>
      </c>
      <c r="I420" s="53">
        <f>HYPERLINK("https://stripe.com/jobs/search?gh_jid=7543868","↗")</f>
        <v/>
      </c>
      <c r="J420" s="52" t="inlineStr">
        <is>
          <t>No</t>
        </is>
      </c>
      <c r="K420" s="52" t="inlineStr"/>
      <c r="L420" s="51" t="inlineStr"/>
      <c r="M420" s="51" t="inlineStr"/>
      <c r="N420" s="51" t="inlineStr"/>
      <c r="O420" s="51" t="inlineStr"/>
    </row>
    <row r="421" ht="16" customHeight="1">
      <c r="A421" s="51" t="inlineStr">
        <is>
          <t>Perception Software Intern — Humanoid Robotics</t>
        </is>
      </c>
      <c r="B421" s="51" t="inlineStr">
        <is>
          <t>Apptronik</t>
        </is>
      </c>
      <c r="C421" s="52" t="inlineStr">
        <is>
          <t>2026-02-23T11:33:16-05:00</t>
        </is>
      </c>
      <c r="D421" s="52" t="inlineStr"/>
      <c r="E421" s="52" t="inlineStr">
        <is>
          <t>TX</t>
        </is>
      </c>
      <c r="F421" s="57" t="n">
        <v>7</v>
      </c>
      <c r="G421" s="52" t="inlineStr">
        <is>
          <t>Greenhouse</t>
        </is>
      </c>
      <c r="H421" s="51" t="inlineStr">
        <is>
          <t>Austin, TX</t>
        </is>
      </c>
      <c r="I421" s="53">
        <f>HYPERLINK("https://boards.greenhouse.io/apptronik/jobs/5789359004?gh_jid=5789359004","↗")</f>
        <v/>
      </c>
      <c r="J421" s="52" t="inlineStr">
        <is>
          <t>No</t>
        </is>
      </c>
      <c r="K421" s="52" t="inlineStr"/>
      <c r="L421" s="51" t="inlineStr"/>
      <c r="M421" s="51" t="inlineStr"/>
      <c r="N421" s="51" t="inlineStr"/>
      <c r="O421" s="51" t="inlineStr"/>
    </row>
    <row r="422" ht="16" customHeight="1">
      <c r="A422" s="51" t="inlineStr">
        <is>
          <t>Software Engineer Intern</t>
        </is>
      </c>
      <c r="B422" s="51" t="inlineStr">
        <is>
          <t>Anduril</t>
        </is>
      </c>
      <c r="C422" s="52" t="inlineStr">
        <is>
          <t>2026-03-20T18:28:22-04:00</t>
        </is>
      </c>
      <c r="D422" s="52" t="inlineStr"/>
      <c r="E422" s="52" t="inlineStr">
        <is>
          <t>CA</t>
        </is>
      </c>
      <c r="F422" s="57" t="n">
        <v>7</v>
      </c>
      <c r="G422" s="52" t="inlineStr">
        <is>
          <t>Greenhouse</t>
        </is>
      </c>
      <c r="H422" s="51" t="inlineStr">
        <is>
          <t>Atlanta, Georgia, United States; Boston, Massachusetts, United States; Costa Mesa, California, United States; Irvine, California, United States; Quincy, Massachusetts, United States; Reston, Virginia, United States; Seattle, Washington, United States</t>
        </is>
      </c>
      <c r="I422" s="53">
        <f>HYPERLINK("https://boards.greenhouse.io/andurilindustries/jobs/4807506007?gh_jid=4807506007","↗")</f>
        <v/>
      </c>
      <c r="J422" s="52" t="inlineStr">
        <is>
          <t>No</t>
        </is>
      </c>
      <c r="K422" s="52" t="inlineStr"/>
      <c r="L422" s="51" t="inlineStr"/>
      <c r="M422" s="51" t="inlineStr"/>
      <c r="N422" s="51" t="inlineStr"/>
      <c r="O422" s="51" t="inlineStr"/>
    </row>
    <row r="423" ht="16" customHeight="1">
      <c r="A423" s="12" t="inlineStr">
        <is>
          <t>Software Engineer, Intern (Summer)</t>
        </is>
      </c>
      <c r="B423" s="12" t="inlineStr">
        <is>
          <t>Stripe</t>
        </is>
      </c>
      <c r="C423" s="13" t="inlineStr">
        <is>
          <t>2026-03-17T17:31:04-04:00</t>
        </is>
      </c>
      <c r="D423" s="13" t="inlineStr"/>
      <c r="E423" s="13" t="inlineStr">
        <is>
          <t>NY</t>
        </is>
      </c>
      <c r="F423" s="14" t="n">
        <v>7</v>
      </c>
      <c r="G423" s="13" t="inlineStr">
        <is>
          <t>Greenhouse</t>
        </is>
      </c>
      <c r="H423" s="12" t="inlineStr">
        <is>
          <t>San Francisco, Seattle, New York City</t>
        </is>
      </c>
      <c r="I423" s="15">
        <f>HYPERLINK("https://stripe.com/jobs/search?gh_jid=7210115","↗")</f>
        <v/>
      </c>
      <c r="J423" s="13" t="inlineStr">
        <is>
          <t>No</t>
        </is>
      </c>
      <c r="K423" s="13" t="inlineStr"/>
      <c r="L423" s="12" t="inlineStr"/>
      <c r="M423" s="12" t="inlineStr"/>
      <c r="N423" s="12" t="inlineStr"/>
      <c r="O423" s="12" t="inlineStr"/>
    </row>
    <row r="424" ht="16" customHeight="1">
      <c r="A424" s="51" t="inlineStr">
        <is>
          <t>International Communications Manager, GPS</t>
        </is>
      </c>
      <c r="B424" s="51" t="inlineStr">
        <is>
          <t>Scale AI</t>
        </is>
      </c>
      <c r="C424" s="52" t="inlineStr">
        <is>
          <t>2026-03-17T15:35:44-04:00</t>
        </is>
      </c>
      <c r="D424" s="52" t="inlineStr"/>
      <c r="E424" s="52" t="inlineStr">
        <is>
          <t>MI</t>
        </is>
      </c>
      <c r="F424" s="57" t="n">
        <v>7</v>
      </c>
      <c r="G424" s="52" t="inlineStr">
        <is>
          <t>Greenhouse</t>
        </is>
      </c>
      <c r="H424" s="51" t="inlineStr">
        <is>
          <t>Doha, Qatar ; Middle East</t>
        </is>
      </c>
      <c r="I424" s="53">
        <f>HYPERLINK("https://job-boards.greenhouse.io/scaleai/jobs/4624669005","↗")</f>
        <v/>
      </c>
      <c r="J424" s="52" t="inlineStr">
        <is>
          <t>No</t>
        </is>
      </c>
      <c r="K424" s="52" t="inlineStr"/>
      <c r="L424" s="51" t="inlineStr"/>
      <c r="M424" s="51" t="inlineStr"/>
      <c r="N424" s="51" t="inlineStr"/>
      <c r="O424" s="51" t="inlineStr"/>
    </row>
    <row r="425" ht="16" customHeight="1">
      <c r="A425" s="51" t="inlineStr">
        <is>
          <t>Software Engineer 3, Internal Engineering</t>
        </is>
      </c>
      <c r="B425" s="51" t="inlineStr">
        <is>
          <t>MongoDB</t>
        </is>
      </c>
      <c r="C425" s="52" t="inlineStr">
        <is>
          <t>2026-03-20T13:13:56-04:00</t>
        </is>
      </c>
      <c r="D425" s="52" t="inlineStr"/>
      <c r="E425" s="52" t="inlineStr"/>
      <c r="F425" s="57" t="n">
        <v>7</v>
      </c>
      <c r="G425" s="52" t="inlineStr">
        <is>
          <t>Greenhouse</t>
        </is>
      </c>
      <c r="H425" s="51" t="inlineStr">
        <is>
          <t>Gurugram</t>
        </is>
      </c>
      <c r="I425" s="53">
        <f>HYPERLINK("https://www.mongodb.com/careers/job/?gh_jid=7543827","↗")</f>
        <v/>
      </c>
      <c r="J425" s="52" t="inlineStr">
        <is>
          <t>No</t>
        </is>
      </c>
      <c r="K425" s="52" t="inlineStr"/>
      <c r="L425" s="51" t="inlineStr"/>
      <c r="M425" s="51" t="inlineStr"/>
      <c r="N425" s="51" t="inlineStr"/>
      <c r="O425" s="51" t="inlineStr"/>
    </row>
    <row r="426" ht="16" customHeight="1">
      <c r="A426" s="51" t="inlineStr">
        <is>
          <t>Internal Audit Data Science &amp; Analytics Lead</t>
        </is>
      </c>
      <c r="B426" s="51" t="inlineStr">
        <is>
          <t>Cloudflare</t>
        </is>
      </c>
      <c r="C426" s="52" t="inlineStr">
        <is>
          <t>2026-03-05T23:55:48-05:00</t>
        </is>
      </c>
      <c r="D426" s="52" t="inlineStr"/>
      <c r="E426" s="52" t="inlineStr"/>
      <c r="F426" s="57" t="n">
        <v>7</v>
      </c>
      <c r="G426" s="52" t="inlineStr">
        <is>
          <t>Greenhouse</t>
        </is>
      </c>
      <c r="H426" s="51" t="inlineStr">
        <is>
          <t>Hybrid</t>
        </is>
      </c>
      <c r="I426" s="53">
        <f>HYPERLINK("https://boards.greenhouse.io/cloudflare/jobs/7337659?gh_jid=7337659","↗")</f>
        <v/>
      </c>
      <c r="J426" s="52" t="inlineStr">
        <is>
          <t>No</t>
        </is>
      </c>
      <c r="K426" s="52" t="inlineStr"/>
      <c r="L426" s="51" t="inlineStr"/>
      <c r="M426" s="51" t="inlineStr"/>
      <c r="N426" s="51" t="inlineStr"/>
      <c r="O426" s="51" t="inlineStr"/>
    </row>
    <row r="427" ht="16" customHeight="1">
      <c r="A427" s="51" t="inlineStr">
        <is>
          <t>Security Engineer Intern (Summer 2026)</t>
        </is>
      </c>
      <c r="B427" s="51" t="inlineStr">
        <is>
          <t>Cloudflare</t>
        </is>
      </c>
      <c r="C427" s="52" t="inlineStr">
        <is>
          <t>2026-02-06T10:04:45-05:00</t>
        </is>
      </c>
      <c r="D427" s="52" t="inlineStr"/>
      <c r="E427" s="52" t="inlineStr"/>
      <c r="F427" s="57" t="n">
        <v>7</v>
      </c>
      <c r="G427" s="52" t="inlineStr">
        <is>
          <t>Greenhouse</t>
        </is>
      </c>
      <c r="H427" s="51" t="inlineStr">
        <is>
          <t>In-Office</t>
        </is>
      </c>
      <c r="I427" s="53">
        <f>HYPERLINK("https://boards.greenhouse.io/cloudflare/jobs/7582150?gh_jid=7582150","↗")</f>
        <v/>
      </c>
      <c r="J427" s="52" t="inlineStr">
        <is>
          <t>No</t>
        </is>
      </c>
      <c r="K427" s="52" t="inlineStr"/>
      <c r="L427" s="51" t="inlineStr"/>
      <c r="M427" s="51" t="inlineStr"/>
      <c r="N427" s="51" t="inlineStr"/>
      <c r="O427" s="51" t="inlineStr"/>
    </row>
    <row r="428" ht="16" customHeight="1">
      <c r="A428" s="51" t="inlineStr">
        <is>
          <t>Security Engineer Intern (Summer 2026)</t>
        </is>
      </c>
      <c r="B428" s="51" t="inlineStr">
        <is>
          <t>Cloudflare</t>
        </is>
      </c>
      <c r="C428" s="52" t="inlineStr">
        <is>
          <t>2026-02-06T10:04:45-05:00</t>
        </is>
      </c>
      <c r="D428" s="52" t="inlineStr"/>
      <c r="E428" s="52" t="inlineStr"/>
      <c r="F428" s="57" t="n">
        <v>7</v>
      </c>
      <c r="G428" s="52" t="inlineStr">
        <is>
          <t>Greenhouse</t>
        </is>
      </c>
      <c r="H428" s="51" t="inlineStr">
        <is>
          <t>In-Office</t>
        </is>
      </c>
      <c r="I428" s="53">
        <f>HYPERLINK("https://boards.greenhouse.io/cloudflare/jobs/7582157?gh_jid=7582157","↗")</f>
        <v/>
      </c>
      <c r="J428" s="52" t="inlineStr">
        <is>
          <t>No</t>
        </is>
      </c>
      <c r="K428" s="52" t="inlineStr"/>
      <c r="L428" s="51" t="inlineStr"/>
      <c r="M428" s="51" t="inlineStr"/>
      <c r="N428" s="51" t="inlineStr"/>
      <c r="O428" s="51" t="inlineStr"/>
    </row>
    <row r="429" ht="16" customHeight="1">
      <c r="A429" s="51" t="inlineStr">
        <is>
          <t>Security Engineer Intern (Summer 2026)</t>
        </is>
      </c>
      <c r="B429" s="51" t="inlineStr">
        <is>
          <t>Cloudflare</t>
        </is>
      </c>
      <c r="C429" s="52" t="inlineStr">
        <is>
          <t>2026-02-06T10:04:45-05:00</t>
        </is>
      </c>
      <c r="D429" s="52" t="inlineStr"/>
      <c r="E429" s="52" t="inlineStr"/>
      <c r="F429" s="57" t="n">
        <v>7</v>
      </c>
      <c r="G429" s="52" t="inlineStr">
        <is>
          <t>Greenhouse</t>
        </is>
      </c>
      <c r="H429" s="51" t="inlineStr">
        <is>
          <t>In-Office</t>
        </is>
      </c>
      <c r="I429" s="53">
        <f>HYPERLINK("https://boards.greenhouse.io/cloudflare/jobs/7582169?gh_jid=7582169","↗")</f>
        <v/>
      </c>
      <c r="J429" s="52" t="inlineStr">
        <is>
          <t>No</t>
        </is>
      </c>
      <c r="K429" s="52" t="inlineStr"/>
      <c r="L429" s="51" t="inlineStr"/>
      <c r="M429" s="51" t="inlineStr"/>
      <c r="N429" s="51" t="inlineStr"/>
      <c r="O429" s="51" t="inlineStr"/>
    </row>
    <row r="430" ht="16" customHeight="1">
      <c r="A430" s="51" t="inlineStr">
        <is>
          <t>Software Engineer Intern</t>
        </is>
      </c>
      <c r="B430" s="51" t="inlineStr">
        <is>
          <t>Coinbase</t>
        </is>
      </c>
      <c r="C430" s="52" t="inlineStr">
        <is>
          <t>2026-03-06T00:54:31-05:00</t>
        </is>
      </c>
      <c r="D430" s="52" t="inlineStr"/>
      <c r="E430" s="52" t="inlineStr">
        <is>
          <t>CA</t>
        </is>
      </c>
      <c r="F430" s="57" t="n">
        <v>7</v>
      </c>
      <c r="G430" s="52" t="inlineStr">
        <is>
          <t>Greenhouse</t>
        </is>
      </c>
      <c r="H430" s="51" t="inlineStr">
        <is>
          <t>Hybrid - San Francisco, CA</t>
        </is>
      </c>
      <c r="I430" s="53">
        <f>HYPERLINK("https://www.coinbase.com/careers/positions/7268895?gh_jid=7268895","↗")</f>
        <v/>
      </c>
      <c r="J430" s="52" t="inlineStr">
        <is>
          <t>No</t>
        </is>
      </c>
      <c r="K430" s="52" t="inlineStr"/>
      <c r="L430" s="51" t="inlineStr"/>
      <c r="M430" s="51" t="inlineStr"/>
      <c r="N430" s="51" t="inlineStr"/>
      <c r="O430" s="51" t="inlineStr"/>
    </row>
    <row r="431" ht="16" customHeight="1">
      <c r="A431" s="51" t="inlineStr">
        <is>
          <t>Software Engineer, Intern</t>
        </is>
      </c>
      <c r="B431" s="51" t="inlineStr">
        <is>
          <t>Brex</t>
        </is>
      </c>
      <c r="C431" s="52" t="inlineStr">
        <is>
          <t>2026-03-19T13:23:46-04:00</t>
        </is>
      </c>
      <c r="D431" s="52" t="inlineStr"/>
      <c r="E431" s="52" t="inlineStr"/>
      <c r="F431" s="57" t="n">
        <v>7</v>
      </c>
      <c r="G431" s="52" t="inlineStr">
        <is>
          <t>Greenhouse</t>
        </is>
      </c>
      <c r="H431" s="51" t="inlineStr">
        <is>
          <t>United States</t>
        </is>
      </c>
      <c r="I431" s="53">
        <f>HYPERLINK("https://www.brex.com/careers/8434389002?gh_jid=8434389002","↗")</f>
        <v/>
      </c>
      <c r="J431" s="52" t="inlineStr">
        <is>
          <t>No</t>
        </is>
      </c>
      <c r="K431" s="52" t="inlineStr"/>
      <c r="L431" s="51" t="inlineStr"/>
      <c r="M431" s="51" t="inlineStr"/>
      <c r="N431" s="51" t="inlineStr"/>
      <c r="O431" s="51" t="inlineStr"/>
    </row>
    <row r="432" ht="16" customHeight="1">
      <c r="A432" s="51" t="inlineStr">
        <is>
          <t>Intern, Battery Cell Controls Engineer, Summer 2026</t>
        </is>
      </c>
      <c r="B432" s="51" t="inlineStr">
        <is>
          <t>Lucid Motors</t>
        </is>
      </c>
      <c r="C432" s="52" t="inlineStr">
        <is>
          <t>2026-03-19T04:38:32-04:00</t>
        </is>
      </c>
      <c r="D432" s="52" t="inlineStr"/>
      <c r="E432" s="52" t="inlineStr">
        <is>
          <t>CA</t>
        </is>
      </c>
      <c r="F432" s="57" t="n">
        <v>7</v>
      </c>
      <c r="G432" s="52" t="inlineStr">
        <is>
          <t>Greenhouse</t>
        </is>
      </c>
      <c r="H432" s="51" t="inlineStr">
        <is>
          <t>Newark, CA</t>
        </is>
      </c>
      <c r="I432" s="53">
        <f>HYPERLINK("https://job-boards.greenhouse.io/lucidmotors/jobs/4922167007","↗")</f>
        <v/>
      </c>
      <c r="J432" s="52" t="inlineStr">
        <is>
          <t>No</t>
        </is>
      </c>
      <c r="K432" s="52" t="inlineStr"/>
      <c r="L432" s="51" t="inlineStr"/>
      <c r="M432" s="51" t="inlineStr"/>
      <c r="N432" s="51" t="inlineStr"/>
      <c r="O432" s="51" t="inlineStr"/>
    </row>
    <row r="433" ht="16" customHeight="1">
      <c r="A433" s="22" t="inlineStr">
        <is>
          <t>Software Engineer, Internship</t>
        </is>
      </c>
      <c r="B433" s="22" t="inlineStr">
        <is>
          <t>Palantir</t>
        </is>
      </c>
      <c r="C433" s="23" t="inlineStr">
        <is>
          <t>1625176335503</t>
        </is>
      </c>
      <c r="D433" s="23" t="inlineStr"/>
      <c r="E433" s="23" t="inlineStr">
        <is>
          <t>PA</t>
        </is>
      </c>
      <c r="F433" s="24" t="n">
        <v>7</v>
      </c>
      <c r="G433" s="23" t="inlineStr">
        <is>
          <t>Lever</t>
        </is>
      </c>
      <c r="H433" s="22" t="inlineStr">
        <is>
          <t>Palo Alto, CA</t>
        </is>
      </c>
      <c r="I433" s="25">
        <f>HYPERLINK("https://jobs.lever.co/palantir/e27af7ab-41fc-40c9-b31d-02c6cb1c505c","↗")</f>
        <v/>
      </c>
      <c r="J433" s="23" t="inlineStr">
        <is>
          <t>No</t>
        </is>
      </c>
      <c r="K433" s="23" t="inlineStr"/>
      <c r="L433" s="22" t="inlineStr"/>
      <c r="M433" s="22" t="inlineStr"/>
      <c r="N433" s="22" t="inlineStr"/>
      <c r="O433" s="22" t="inlineStr"/>
    </row>
    <row r="434" ht="16" customHeight="1">
      <c r="A434" s="12" t="inlineStr">
        <is>
          <t>Forward Deployed Software Engineer, Internship - France</t>
        </is>
      </c>
      <c r="B434" s="12" t="inlineStr">
        <is>
          <t>Palantir</t>
        </is>
      </c>
      <c r="C434" s="13" t="inlineStr">
        <is>
          <t>1773145615948</t>
        </is>
      </c>
      <c r="D434" s="13" t="inlineStr"/>
      <c r="E434" s="13" t="inlineStr">
        <is>
          <t>NY</t>
        </is>
      </c>
      <c r="F434" s="14" t="n">
        <v>7</v>
      </c>
      <c r="G434" s="13" t="inlineStr">
        <is>
          <t>Lever</t>
        </is>
      </c>
      <c r="H434" s="12" t="inlineStr">
        <is>
          <t>New York, NY</t>
        </is>
      </c>
      <c r="I434" s="15">
        <f>HYPERLINK("https://jobs.lever.co/palantir/ac0dc094-2480-43c2-8495-26ade227ff4f","↗")</f>
        <v/>
      </c>
      <c r="J434" s="13" t="inlineStr">
        <is>
          <t>No</t>
        </is>
      </c>
      <c r="K434" s="13" t="inlineStr"/>
      <c r="L434" s="12" t="inlineStr"/>
      <c r="M434" s="12" t="inlineStr"/>
      <c r="N434" s="12" t="inlineStr"/>
      <c r="O434" s="12" t="inlineStr"/>
    </row>
    <row r="435" ht="16" customHeight="1">
      <c r="A435" s="12" t="inlineStr">
        <is>
          <t>Software Engineer, Internship</t>
        </is>
      </c>
      <c r="B435" s="12" t="inlineStr">
        <is>
          <t>Palantir</t>
        </is>
      </c>
      <c r="C435" s="13" t="inlineStr">
        <is>
          <t>1656623940945</t>
        </is>
      </c>
      <c r="D435" s="13" t="inlineStr"/>
      <c r="E435" s="13" t="inlineStr">
        <is>
          <t>NY</t>
        </is>
      </c>
      <c r="F435" s="14" t="n">
        <v>7</v>
      </c>
      <c r="G435" s="13" t="inlineStr">
        <is>
          <t>Lever</t>
        </is>
      </c>
      <c r="H435" s="12" t="inlineStr">
        <is>
          <t>New York, NY</t>
        </is>
      </c>
      <c r="I435" s="15">
        <f>HYPERLINK("https://jobs.lever.co/palantir/7d69cf8a-06fd-4f05-bd84-27149db29c4d","↗")</f>
        <v/>
      </c>
      <c r="J435" s="13" t="inlineStr">
        <is>
          <t>No</t>
        </is>
      </c>
      <c r="K435" s="13" t="inlineStr"/>
      <c r="L435" s="12" t="inlineStr"/>
      <c r="M435" s="12" t="inlineStr"/>
      <c r="N435" s="12" t="inlineStr"/>
      <c r="O435" s="12" t="inlineStr"/>
    </row>
    <row r="436" ht="16" customHeight="1">
      <c r="A436" s="54" t="inlineStr">
        <is>
          <t>Software Engineer, Internship</t>
        </is>
      </c>
      <c r="B436" s="54" t="inlineStr">
        <is>
          <t>Palantir</t>
        </is>
      </c>
      <c r="C436" s="55" t="inlineStr">
        <is>
          <t>1625176757593</t>
        </is>
      </c>
      <c r="D436" s="55" t="inlineStr"/>
      <c r="E436" s="55" t="inlineStr">
        <is>
          <t>WA</t>
        </is>
      </c>
      <c r="F436" s="58" t="n">
        <v>7</v>
      </c>
      <c r="G436" s="55" t="inlineStr">
        <is>
          <t>Lever</t>
        </is>
      </c>
      <c r="H436" s="54" t="inlineStr">
        <is>
          <t>Seattle, WA</t>
        </is>
      </c>
      <c r="I436" s="56">
        <f>HYPERLINK("https://jobs.lever.co/palantir/2fb19022-bb65-4af8-b6fa-31beb345c140","↗")</f>
        <v/>
      </c>
      <c r="J436" s="55" t="inlineStr">
        <is>
          <t>No</t>
        </is>
      </c>
      <c r="K436" s="55" t="inlineStr"/>
      <c r="L436" s="54" t="inlineStr"/>
      <c r="M436" s="54" t="inlineStr"/>
      <c r="N436" s="54" t="inlineStr"/>
      <c r="O436" s="54" t="inlineStr"/>
    </row>
    <row r="437" ht="16" customHeight="1">
      <c r="A437" s="54" t="inlineStr">
        <is>
          <t>Software Engineer, Internship</t>
        </is>
      </c>
      <c r="B437" s="54" t="inlineStr">
        <is>
          <t>Palantir</t>
        </is>
      </c>
      <c r="C437" s="55" t="inlineStr">
        <is>
          <t>1724906088941</t>
        </is>
      </c>
      <c r="D437" s="55" t="inlineStr"/>
      <c r="E437" s="55" t="inlineStr">
        <is>
          <t>CO</t>
        </is>
      </c>
      <c r="F437" s="58" t="n">
        <v>7</v>
      </c>
      <c r="G437" s="55" t="inlineStr">
        <is>
          <t>Lever</t>
        </is>
      </c>
      <c r="H437" s="54" t="inlineStr">
        <is>
          <t>Denver, CO</t>
        </is>
      </c>
      <c r="I437" s="56">
        <f>HYPERLINK("https://jobs.lever.co/palantir/373eb939-6f57-4836-8479-be79a5e07249","↗")</f>
        <v/>
      </c>
      <c r="J437" s="55" t="inlineStr">
        <is>
          <t>No</t>
        </is>
      </c>
      <c r="K437" s="55" t="inlineStr"/>
      <c r="L437" s="54" t="inlineStr"/>
      <c r="M437" s="54" t="inlineStr"/>
      <c r="N437" s="54" t="inlineStr"/>
      <c r="O437" s="54" t="inlineStr"/>
    </row>
    <row r="438" ht="16" customHeight="1">
      <c r="A438" s="54" t="inlineStr">
        <is>
          <t>Software Engineer, Internship</t>
        </is>
      </c>
      <c r="B438" s="54" t="inlineStr">
        <is>
          <t>Palantir</t>
        </is>
      </c>
      <c r="C438" s="55" t="inlineStr">
        <is>
          <t>1625176840124</t>
        </is>
      </c>
      <c r="D438" s="55" t="inlineStr"/>
      <c r="E438" s="55" t="inlineStr">
        <is>
          <t>WA</t>
        </is>
      </c>
      <c r="F438" s="58" t="n">
        <v>7</v>
      </c>
      <c r="G438" s="55" t="inlineStr">
        <is>
          <t>Lever</t>
        </is>
      </c>
      <c r="H438" s="54" t="inlineStr">
        <is>
          <t>Washington, D.C.</t>
        </is>
      </c>
      <c r="I438" s="56">
        <f>HYPERLINK("https://jobs.lever.co/palantir/bdcfb29f-4f27-42de-933f-7f83a359b9f0","↗")</f>
        <v/>
      </c>
      <c r="J438" s="55" t="inlineStr">
        <is>
          <t>No</t>
        </is>
      </c>
      <c r="K438" s="55" t="inlineStr"/>
      <c r="L438" s="54" t="inlineStr"/>
      <c r="M438" s="54" t="inlineStr"/>
      <c r="N438" s="54" t="inlineStr"/>
      <c r="O438" s="54" t="inlineStr"/>
    </row>
    <row r="439" ht="16" customHeight="1">
      <c r="A439" s="51" t="inlineStr">
        <is>
          <t xml:space="preserve">Product Quality Internship (Summer 2026) </t>
        </is>
      </c>
      <c r="B439" s="51" t="inlineStr">
        <is>
          <t>Locus Robotics</t>
        </is>
      </c>
      <c r="C439" s="52" t="inlineStr">
        <is>
          <t>2026-03-13T09:48:46-04:00</t>
        </is>
      </c>
      <c r="D439" s="52" t="inlineStr"/>
      <c r="E439" s="52" t="inlineStr">
        <is>
          <t>MA</t>
        </is>
      </c>
      <c r="F439" s="57" t="n">
        <v>6</v>
      </c>
      <c r="G439" s="52" t="inlineStr">
        <is>
          <t>Greenhouse</t>
        </is>
      </c>
      <c r="H439" s="51" t="inlineStr">
        <is>
          <t>Wilmington, MA</t>
        </is>
      </c>
      <c r="I439" s="53">
        <f>HYPERLINK("https://job-boards.greenhouse.io/locusrobotics/jobs/5042544007","↗")</f>
        <v/>
      </c>
      <c r="J439" s="52" t="inlineStr">
        <is>
          <t>No</t>
        </is>
      </c>
      <c r="K439" s="52" t="inlineStr"/>
      <c r="L439" s="51" t="inlineStr"/>
      <c r="M439" s="51" t="inlineStr"/>
      <c r="N439" s="51" t="inlineStr"/>
      <c r="O439" s="51" t="inlineStr"/>
    </row>
    <row r="440" ht="16" customHeight="1">
      <c r="A440" s="51" t="inlineStr">
        <is>
          <t>Systems Engineering Intern, Compliance Coverage ML</t>
        </is>
      </c>
      <c r="B440" s="51" t="inlineStr">
        <is>
          <t>Nuro</t>
        </is>
      </c>
      <c r="C440" s="52" t="inlineStr">
        <is>
          <t>2026-02-10T13:24:34-05:00</t>
        </is>
      </c>
      <c r="D440" s="52" t="inlineStr"/>
      <c r="E440" s="52" t="inlineStr">
        <is>
          <t>CA</t>
        </is>
      </c>
      <c r="F440" s="57" t="n">
        <v>6</v>
      </c>
      <c r="G440" s="52" t="inlineStr">
        <is>
          <t>Greenhouse</t>
        </is>
      </c>
      <c r="H440" s="51" t="inlineStr">
        <is>
          <t>Mountain View, California (HQ)</t>
        </is>
      </c>
      <c r="I440" s="53">
        <f>HYPERLINK("https://nuro.ai/careersitem?gh_jid=7562197","↗")</f>
        <v/>
      </c>
      <c r="J440" s="52" t="inlineStr">
        <is>
          <t>No</t>
        </is>
      </c>
      <c r="K440" s="52" t="inlineStr"/>
      <c r="L440" s="51" t="inlineStr"/>
      <c r="M440" s="51" t="inlineStr"/>
      <c r="N440" s="51" t="inlineStr"/>
      <c r="O440" s="51" t="inlineStr"/>
    </row>
    <row r="441" ht="16" customHeight="1">
      <c r="A441" s="51" t="inlineStr">
        <is>
          <t>Machine Learning Research Intern (Summer 2026)</t>
        </is>
      </c>
      <c r="B441" s="51" t="inlineStr">
        <is>
          <t>Scale AI</t>
        </is>
      </c>
      <c r="C441" s="52" t="inlineStr">
        <is>
          <t>2026-03-12T12:49:04-04:00</t>
        </is>
      </c>
      <c r="D441" s="52" t="inlineStr"/>
      <c r="E441" s="52" t="inlineStr">
        <is>
          <t>CA</t>
        </is>
      </c>
      <c r="F441" s="57" t="n">
        <v>6</v>
      </c>
      <c r="G441" s="52" t="inlineStr">
        <is>
          <t>Greenhouse</t>
        </is>
      </c>
      <c r="H441" s="51" t="inlineStr">
        <is>
          <t>San Francisco, CA</t>
        </is>
      </c>
      <c r="I441" s="53">
        <f>HYPERLINK("https://job-boards.greenhouse.io/scaleai/jobs/4606060005","↗")</f>
        <v/>
      </c>
      <c r="J441" s="52" t="inlineStr">
        <is>
          <t>No</t>
        </is>
      </c>
      <c r="K441" s="52" t="inlineStr"/>
      <c r="L441" s="51" t="inlineStr"/>
      <c r="M441" s="51" t="inlineStr"/>
      <c r="N441" s="51" t="inlineStr"/>
      <c r="O441" s="51" t="inlineStr"/>
    </row>
    <row r="442" ht="16" customHeight="1">
      <c r="A442" s="51" t="inlineStr">
        <is>
          <t>AI Automation Intern (M&amp;A Integration Ops) (Summer 2026)</t>
        </is>
      </c>
      <c r="B442" s="51" t="inlineStr">
        <is>
          <t>Cloudflare</t>
        </is>
      </c>
      <c r="C442" s="52" t="inlineStr">
        <is>
          <t>2026-02-10T20:51:27-05:00</t>
        </is>
      </c>
      <c r="D442" s="52" t="inlineStr"/>
      <c r="E442" s="52" t="inlineStr"/>
      <c r="F442" s="57" t="n">
        <v>6</v>
      </c>
      <c r="G442" s="52" t="inlineStr">
        <is>
          <t>Greenhouse</t>
        </is>
      </c>
      <c r="H442" s="51" t="inlineStr">
        <is>
          <t>In-Office</t>
        </is>
      </c>
      <c r="I442" s="53">
        <f>HYPERLINK("https://boards.greenhouse.io/cloudflare/jobs/7589903?gh_jid=7589903","↗")</f>
        <v/>
      </c>
      <c r="J442" s="52" t="inlineStr">
        <is>
          <t>No</t>
        </is>
      </c>
      <c r="K442" s="52" t="inlineStr"/>
      <c r="L442" s="51" t="inlineStr"/>
      <c r="M442" s="51" t="inlineStr"/>
      <c r="N442" s="51" t="inlineStr"/>
      <c r="O442" s="51" t="inlineStr"/>
    </row>
    <row r="443" ht="16" customHeight="1">
      <c r="A443" s="51" t="inlineStr">
        <is>
          <t>Data and Technology - Operations and AI Innovation Intern (Summer 2026)</t>
        </is>
      </c>
      <c r="B443" s="51" t="inlineStr">
        <is>
          <t>Cloudflare</t>
        </is>
      </c>
      <c r="C443" s="52" t="inlineStr">
        <is>
          <t>2026-03-19T11:59:50-04:00</t>
        </is>
      </c>
      <c r="D443" s="52" t="inlineStr"/>
      <c r="E443" s="52" t="inlineStr"/>
      <c r="F443" s="57" t="n">
        <v>6</v>
      </c>
      <c r="G443" s="52" t="inlineStr">
        <is>
          <t>Greenhouse</t>
        </is>
      </c>
      <c r="H443" s="51" t="inlineStr">
        <is>
          <t>In-Office</t>
        </is>
      </c>
      <c r="I443" s="53">
        <f>HYPERLINK("https://boards.greenhouse.io/cloudflare/jobs/7674785?gh_jid=7674785","↗")</f>
        <v/>
      </c>
      <c r="J443" s="52" t="inlineStr">
        <is>
          <t>No</t>
        </is>
      </c>
      <c r="K443" s="52" t="inlineStr"/>
      <c r="L443" s="51" t="inlineStr"/>
      <c r="M443" s="51" t="inlineStr"/>
      <c r="N443" s="51" t="inlineStr"/>
      <c r="O443" s="51" t="inlineStr"/>
    </row>
    <row r="444" ht="16" customHeight="1">
      <c r="A444" s="51" t="inlineStr">
        <is>
          <t>Data and Technology - Operations and AI Innovation Intern (Summer 2026)</t>
        </is>
      </c>
      <c r="B444" s="51" t="inlineStr">
        <is>
          <t>Cloudflare</t>
        </is>
      </c>
      <c r="C444" s="52" t="inlineStr">
        <is>
          <t>2026-03-13T14:30:41-04:00</t>
        </is>
      </c>
      <c r="D444" s="52" t="inlineStr"/>
      <c r="E444" s="52" t="inlineStr"/>
      <c r="F444" s="57" t="n">
        <v>6</v>
      </c>
      <c r="G444" s="52" t="inlineStr">
        <is>
          <t>Greenhouse</t>
        </is>
      </c>
      <c r="H444" s="51" t="inlineStr">
        <is>
          <t>In-Office</t>
        </is>
      </c>
      <c r="I444" s="53">
        <f>HYPERLINK("https://boards.greenhouse.io/cloudflare/jobs/7675578?gh_jid=7675578","↗")</f>
        <v/>
      </c>
      <c r="J444" s="52" t="inlineStr">
        <is>
          <t>No</t>
        </is>
      </c>
      <c r="K444" s="52" t="inlineStr"/>
      <c r="L444" s="51" t="inlineStr"/>
      <c r="M444" s="51" t="inlineStr"/>
      <c r="N444" s="51" t="inlineStr"/>
      <c r="O444" s="51" t="inlineStr"/>
    </row>
    <row r="445" ht="16" customHeight="1">
      <c r="A445" s="51" t="inlineStr">
        <is>
          <t>Mechanical Engineering Intern</t>
        </is>
      </c>
      <c r="B445" s="51" t="inlineStr">
        <is>
          <t>Agility Robotics</t>
        </is>
      </c>
      <c r="C445" s="52" t="inlineStr">
        <is>
          <t>2026-03-05T17:31:46-05:00</t>
        </is>
      </c>
      <c r="D445" s="52" t="inlineStr"/>
      <c r="E445" s="52" t="inlineStr">
        <is>
          <t>CA</t>
        </is>
      </c>
      <c r="F445" s="57" t="n">
        <v>6</v>
      </c>
      <c r="G445" s="52" t="inlineStr">
        <is>
          <t>Greenhouse</t>
        </is>
      </c>
      <c r="H445" s="51" t="inlineStr">
        <is>
          <t>Onsite- Salem, OR or Fremont, CA</t>
        </is>
      </c>
      <c r="I445" s="53">
        <f>HYPERLINK("https://www.agilityrobotics.com/about/job-post?gh_jid=5820318004","↗")</f>
        <v/>
      </c>
      <c r="J445" s="52" t="inlineStr">
        <is>
          <t>No</t>
        </is>
      </c>
      <c r="K445" s="52" t="inlineStr"/>
      <c r="L445" s="51" t="inlineStr"/>
      <c r="M445" s="51" t="inlineStr"/>
      <c r="N445" s="51" t="inlineStr"/>
      <c r="O445" s="51" t="inlineStr"/>
    </row>
    <row r="446" ht="16" customHeight="1">
      <c r="A446" s="54" t="inlineStr">
        <is>
          <t>Part-Time Student Worker – Applied AI &amp; LLM Workflows</t>
        </is>
      </c>
      <c r="B446" s="54" t="inlineStr">
        <is>
          <t>Zoox</t>
        </is>
      </c>
      <c r="C446" s="55" t="inlineStr">
        <is>
          <t>1772753614985</t>
        </is>
      </c>
      <c r="D446" s="55" t="inlineStr"/>
      <c r="E446" s="55" t="inlineStr">
        <is>
          <t>CA</t>
        </is>
      </c>
      <c r="F446" s="58" t="n">
        <v>6</v>
      </c>
      <c r="G446" s="55" t="inlineStr">
        <is>
          <t>Lever</t>
        </is>
      </c>
      <c r="H446" s="54" t="inlineStr">
        <is>
          <t>Foster City, CA</t>
        </is>
      </c>
      <c r="I446" s="56">
        <f>HYPERLINK("https://jobs.lever.co/zoox/a0185c33-76f1-4516-bec2-a5501c49b081","↗")</f>
        <v/>
      </c>
      <c r="J446" s="55" t="inlineStr">
        <is>
          <t>No</t>
        </is>
      </c>
      <c r="K446" s="55" t="inlineStr"/>
      <c r="L446" s="54" t="inlineStr"/>
      <c r="M446" s="54" t="inlineStr"/>
      <c r="N446" s="54" t="inlineStr"/>
      <c r="O446" s="54" t="inlineStr"/>
    </row>
    <row r="447" ht="16" customHeight="1">
      <c r="A447" s="22" t="inlineStr">
        <is>
          <t>Director of Internal Communications</t>
        </is>
      </c>
      <c r="B447" s="22" t="inlineStr">
        <is>
          <t>Duolingo</t>
        </is>
      </c>
      <c r="C447" s="23" t="inlineStr">
        <is>
          <t>2026-03-16T10:32:39-04:00</t>
        </is>
      </c>
      <c r="D447" s="23" t="inlineStr"/>
      <c r="E447" s="23" t="inlineStr">
        <is>
          <t>PA</t>
        </is>
      </c>
      <c r="F447" s="24" t="n">
        <v>5</v>
      </c>
      <c r="G447" s="23" t="inlineStr">
        <is>
          <t>Greenhouse</t>
        </is>
      </c>
      <c r="H447" s="22" t="inlineStr">
        <is>
          <t>Pittsburgh, PA</t>
        </is>
      </c>
      <c r="I447" s="25">
        <f>HYPERLINK("https://careers.duolingo.com/jobs/8448942002?gh_jid=8448942002","↗")</f>
        <v/>
      </c>
      <c r="J447" s="23" t="inlineStr">
        <is>
          <t>No</t>
        </is>
      </c>
      <c r="K447" s="23" t="inlineStr"/>
      <c r="L447" s="22" t="inlineStr"/>
      <c r="M447" s="22" t="inlineStr"/>
      <c r="N447" s="22" t="inlineStr"/>
      <c r="O447" s="22" t="inlineStr"/>
    </row>
    <row r="448" ht="16" customHeight="1">
      <c r="A448" s="12" t="inlineStr">
        <is>
          <t>Director of Internal Communications</t>
        </is>
      </c>
      <c r="B448" s="12" t="inlineStr">
        <is>
          <t>Duolingo</t>
        </is>
      </c>
      <c r="C448" s="13" t="inlineStr">
        <is>
          <t>2026-03-16T10:32:39-04:00</t>
        </is>
      </c>
      <c r="D448" s="13" t="inlineStr"/>
      <c r="E448" s="13" t="inlineStr">
        <is>
          <t>NY</t>
        </is>
      </c>
      <c r="F448" s="14" t="n">
        <v>5</v>
      </c>
      <c r="G448" s="13" t="inlineStr">
        <is>
          <t>Greenhouse</t>
        </is>
      </c>
      <c r="H448" s="12" t="inlineStr">
        <is>
          <t>New York, NY</t>
        </is>
      </c>
      <c r="I448" s="15">
        <f>HYPERLINK("https://careers.duolingo.com/jobs/8448961002?gh_jid=8448961002","↗")</f>
        <v/>
      </c>
      <c r="J448" s="13" t="inlineStr">
        <is>
          <t>No</t>
        </is>
      </c>
      <c r="K448" s="13" t="inlineStr"/>
      <c r="L448" s="12" t="inlineStr"/>
      <c r="M448" s="12" t="inlineStr"/>
      <c r="N448" s="12" t="inlineStr"/>
      <c r="O448" s="12" t="inlineStr"/>
    </row>
    <row r="449" ht="16" customHeight="1">
      <c r="A449" s="8" t="inlineStr">
        <is>
          <t>International Communications Associate</t>
        </is>
      </c>
      <c r="B449" s="8" t="inlineStr">
        <is>
          <t>Coinbase</t>
        </is>
      </c>
      <c r="C449" s="9" t="inlineStr">
        <is>
          <t>2026-03-16T01:26:43-04:00</t>
        </is>
      </c>
      <c r="D449" s="9" t="inlineStr"/>
      <c r="E449" s="9" t="inlineStr">
        <is>
          <t>Remote</t>
        </is>
      </c>
      <c r="F449" s="11" t="n">
        <v>5</v>
      </c>
      <c r="G449" s="9" t="inlineStr">
        <is>
          <t>Greenhouse</t>
        </is>
      </c>
      <c r="H449" s="8" t="inlineStr">
        <is>
          <t>Remote - Australia</t>
        </is>
      </c>
      <c r="I449" s="10">
        <f>HYPERLINK("https://www.coinbase.com/careers/positions/7670186?gh_jid=7670186","↗")</f>
        <v/>
      </c>
      <c r="J449" s="9" t="inlineStr">
        <is>
          <t>No</t>
        </is>
      </c>
      <c r="K449" s="9" t="inlineStr"/>
      <c r="L449" s="8" t="inlineStr"/>
      <c r="M449" s="8" t="inlineStr"/>
      <c r="N449" s="8" t="inlineStr"/>
      <c r="O449" s="8" t="inlineStr"/>
    </row>
    <row r="450" ht="16" customHeight="1">
      <c r="A450" s="51" t="inlineStr">
        <is>
          <t>Director, Business Development, Warfighter Systems International</t>
        </is>
      </c>
      <c r="B450" s="51" t="inlineStr">
        <is>
          <t>Anduril</t>
        </is>
      </c>
      <c r="C450" s="52" t="inlineStr">
        <is>
          <t>2026-03-20T18:28:22-04:00</t>
        </is>
      </c>
      <c r="D450" s="52" t="inlineStr"/>
      <c r="E450" s="52" t="inlineStr">
        <is>
          <t>WA</t>
        </is>
      </c>
      <c r="F450" s="57" t="n">
        <v>5</v>
      </c>
      <c r="G450" s="52" t="inlineStr">
        <is>
          <t>Greenhouse</t>
        </is>
      </c>
      <c r="H450" s="51" t="inlineStr">
        <is>
          <t>Washington, District of Columbia, United States</t>
        </is>
      </c>
      <c r="I450" s="53">
        <f>HYPERLINK("https://boards.greenhouse.io/andurilindustries/jobs/5016388007?gh_jid=5016388007","↗")</f>
        <v/>
      </c>
      <c r="J450" s="52" t="inlineStr">
        <is>
          <t>No</t>
        </is>
      </c>
      <c r="K450" s="52" t="inlineStr"/>
      <c r="L450" s="51" t="inlineStr"/>
      <c r="M450" s="51" t="inlineStr"/>
      <c r="N450" s="51" t="inlineStr"/>
      <c r="O450" s="51" t="inlineStr"/>
    </row>
    <row r="451" ht="16" customHeight="1">
      <c r="A451" s="51" t="inlineStr">
        <is>
          <t>Director of Internal Communications</t>
        </is>
      </c>
      <c r="B451" s="51" t="inlineStr">
        <is>
          <t>Databricks</t>
        </is>
      </c>
      <c r="C451" s="52" t="inlineStr">
        <is>
          <t>2026-03-06T23:09:54-05:00</t>
        </is>
      </c>
      <c r="D451" s="52" t="inlineStr"/>
      <c r="E451" s="52" t="inlineStr">
        <is>
          <t>CA</t>
        </is>
      </c>
      <c r="F451" s="57" t="n">
        <v>5</v>
      </c>
      <c r="G451" s="52" t="inlineStr">
        <is>
          <t>Greenhouse</t>
        </is>
      </c>
      <c r="H451" s="51" t="inlineStr">
        <is>
          <t>San Francisco, California</t>
        </is>
      </c>
      <c r="I451" s="53">
        <f>HYPERLINK("https://databricks.com/company/careers/open-positions/job?gh_jid=8453290002","↗")</f>
        <v/>
      </c>
      <c r="J451" s="52" t="inlineStr">
        <is>
          <t>No</t>
        </is>
      </c>
      <c r="K451" s="52" t="inlineStr"/>
      <c r="L451" s="51" t="inlineStr"/>
      <c r="M451" s="51" t="inlineStr"/>
      <c r="N451" s="51" t="inlineStr"/>
      <c r="O451" s="51" t="inlineStr"/>
    </row>
    <row r="452" ht="16" customHeight="1">
      <c r="A452" s="51" t="inlineStr">
        <is>
          <t>MBA Intern - Workforce Intelligence</t>
        </is>
      </c>
      <c r="B452" s="51" t="inlineStr">
        <is>
          <t>Databricks</t>
        </is>
      </c>
      <c r="C452" s="52" t="inlineStr">
        <is>
          <t>2026-03-03T13:08:17-05:00</t>
        </is>
      </c>
      <c r="D452" s="52" t="inlineStr"/>
      <c r="E452" s="52" t="inlineStr">
        <is>
          <t>CA</t>
        </is>
      </c>
      <c r="F452" s="57" t="n">
        <v>5</v>
      </c>
      <c r="G452" s="52" t="inlineStr">
        <is>
          <t>Greenhouse</t>
        </is>
      </c>
      <c r="H452" s="51" t="inlineStr">
        <is>
          <t>San Francisco, California</t>
        </is>
      </c>
      <c r="I452" s="53">
        <f>HYPERLINK("https://databricks.com/company/careers/open-positions/job?gh_jid=8402613002","↗")</f>
        <v/>
      </c>
      <c r="J452" s="52" t="inlineStr">
        <is>
          <t>No</t>
        </is>
      </c>
      <c r="K452" s="52" t="inlineStr"/>
      <c r="L452" s="51" t="inlineStr"/>
      <c r="M452" s="51" t="inlineStr"/>
      <c r="N452" s="51" t="inlineStr"/>
      <c r="O452" s="51" t="inlineStr"/>
    </row>
    <row r="453" ht="16" customHeight="1">
      <c r="A453" s="51" t="inlineStr">
        <is>
          <t>Internal Audit Data Science Engineer</t>
        </is>
      </c>
      <c r="B453" s="51" t="inlineStr">
        <is>
          <t>Cloudflare</t>
        </is>
      </c>
      <c r="C453" s="52" t="inlineStr">
        <is>
          <t>2026-03-04T06:20:25-05:00</t>
        </is>
      </c>
      <c r="D453" s="52" t="inlineStr"/>
      <c r="E453" s="52" t="inlineStr"/>
      <c r="F453" s="57" t="n">
        <v>5</v>
      </c>
      <c r="G453" s="52" t="inlineStr">
        <is>
          <t>Greenhouse</t>
        </is>
      </c>
      <c r="H453" s="51" t="inlineStr">
        <is>
          <t>Hybrid</t>
        </is>
      </c>
      <c r="I453" s="53">
        <f>HYPERLINK("https://boards.greenhouse.io/cloudflare/jobs/7376063?gh_jid=7376063","↗")</f>
        <v/>
      </c>
      <c r="J453" s="52" t="inlineStr">
        <is>
          <t>No</t>
        </is>
      </c>
      <c r="K453" s="52" t="inlineStr"/>
      <c r="L453" s="51" t="inlineStr"/>
      <c r="M453" s="51" t="inlineStr"/>
      <c r="N453" s="51" t="inlineStr"/>
      <c r="O453" s="51" t="inlineStr"/>
    </row>
    <row r="454" ht="16" customHeight="1">
      <c r="A454" s="51" t="inlineStr">
        <is>
          <t>Head of Internal Communications</t>
        </is>
      </c>
      <c r="B454" s="51" t="inlineStr">
        <is>
          <t>Checkr</t>
        </is>
      </c>
      <c r="C454" s="52" t="inlineStr">
        <is>
          <t>2026-02-24T20:57:04-05:00</t>
        </is>
      </c>
      <c r="D454" s="52" t="inlineStr"/>
      <c r="E454" s="52" t="inlineStr">
        <is>
          <t>CA</t>
        </is>
      </c>
      <c r="F454" s="57" t="n">
        <v>5</v>
      </c>
      <c r="G454" s="52" t="inlineStr">
        <is>
          <t>Greenhouse</t>
        </is>
      </c>
      <c r="H454" s="51" t="inlineStr">
        <is>
          <t>San Francisco, California, United States</t>
        </is>
      </c>
      <c r="I454" s="53">
        <f>HYPERLINK("https://job-boards.greenhouse.io/checkr/jobs/7203302","↗")</f>
        <v/>
      </c>
      <c r="J454" s="52" t="inlineStr">
        <is>
          <t>No</t>
        </is>
      </c>
      <c r="K454" s="52" t="inlineStr"/>
      <c r="L454" s="51" t="inlineStr"/>
      <c r="M454" s="51" t="inlineStr"/>
      <c r="N454" s="51" t="inlineStr"/>
      <c r="O454" s="51" t="inlineStr"/>
    </row>
    <row r="455" ht="16" customHeight="1">
      <c r="A455" s="51" t="inlineStr">
        <is>
          <t>Data Science Intern</t>
        </is>
      </c>
      <c r="B455" s="51" t="inlineStr">
        <is>
          <t>Faire</t>
        </is>
      </c>
      <c r="C455" s="52" t="inlineStr">
        <is>
          <t>2026-03-19T16:34:39-04:00</t>
        </is>
      </c>
      <c r="D455" s="52" t="inlineStr"/>
      <c r="E455" s="52" t="inlineStr">
        <is>
          <t>CA</t>
        </is>
      </c>
      <c r="F455" s="57" t="n">
        <v>5</v>
      </c>
      <c r="G455" s="52" t="inlineStr">
        <is>
          <t>Greenhouse</t>
        </is>
      </c>
      <c r="H455" s="51" t="inlineStr">
        <is>
          <t>San Francisco, CA</t>
        </is>
      </c>
      <c r="I455" s="53">
        <f>HYPERLINK("https://boards.greenhouse.io/faire/jobs/8376377002?gh_jid=8376377002","↗")</f>
        <v/>
      </c>
      <c r="J455" s="52" t="inlineStr">
        <is>
          <t>No</t>
        </is>
      </c>
      <c r="K455" s="52" t="inlineStr"/>
      <c r="L455" s="51" t="inlineStr"/>
      <c r="M455" s="51" t="inlineStr"/>
      <c r="N455" s="51" t="inlineStr"/>
      <c r="O455" s="51" t="inlineStr"/>
    </row>
    <row r="456" ht="16" customHeight="1">
      <c r="A456" s="54" t="inlineStr">
        <is>
          <t>Firmware Validation Tooling Intern</t>
        </is>
      </c>
      <c r="B456" s="54" t="inlineStr">
        <is>
          <t>Zoox</t>
        </is>
      </c>
      <c r="C456" s="55" t="inlineStr">
        <is>
          <t>1762561336145</t>
        </is>
      </c>
      <c r="D456" s="55" t="inlineStr"/>
      <c r="E456" s="55" t="inlineStr">
        <is>
          <t>CA</t>
        </is>
      </c>
      <c r="F456" s="58" t="n">
        <v>5</v>
      </c>
      <c r="G456" s="55" t="inlineStr">
        <is>
          <t>Lever</t>
        </is>
      </c>
      <c r="H456" s="54" t="inlineStr">
        <is>
          <t>Foster City, CA</t>
        </is>
      </c>
      <c r="I456" s="56">
        <f>HYPERLINK("https://jobs.lever.co/zoox/fd2be6ec-162d-4955-802f-fb8d2de8b3c0","↗")</f>
        <v/>
      </c>
      <c r="J456" s="55" t="inlineStr">
        <is>
          <t>No</t>
        </is>
      </c>
      <c r="K456" s="55" t="inlineStr"/>
      <c r="L456" s="54" t="inlineStr"/>
      <c r="M456" s="54" t="inlineStr"/>
      <c r="N456" s="54" t="inlineStr"/>
      <c r="O456" s="54" t="inlineStr"/>
    </row>
    <row r="457" ht="16" customHeight="1">
      <c r="A457" s="51" t="inlineStr">
        <is>
          <t xml:space="preserve">Technical Advisor Specialist (Part-Time Internship) </t>
        </is>
      </c>
      <c r="B457" s="51" t="inlineStr">
        <is>
          <t>Scale AI</t>
        </is>
      </c>
      <c r="C457" s="52" t="inlineStr">
        <is>
          <t>2026-03-17T18:48:51-04:00</t>
        </is>
      </c>
      <c r="D457" s="52" t="inlineStr"/>
      <c r="E457" s="52" t="inlineStr">
        <is>
          <t>CA</t>
        </is>
      </c>
      <c r="F457" s="57" t="n">
        <v>4</v>
      </c>
      <c r="G457" s="52" t="inlineStr">
        <is>
          <t>Greenhouse</t>
        </is>
      </c>
      <c r="H457" s="51" t="inlineStr">
        <is>
          <t>San Francisco, CA</t>
        </is>
      </c>
      <c r="I457" s="53">
        <f>HYPERLINK("https://job-boards.greenhouse.io/scaleai/jobs/4611533005","↗")</f>
        <v/>
      </c>
      <c r="J457" s="52" t="inlineStr">
        <is>
          <t>No</t>
        </is>
      </c>
      <c r="K457" s="52" t="inlineStr"/>
      <c r="L457" s="51" t="inlineStr"/>
      <c r="M457" s="51" t="inlineStr"/>
      <c r="N457" s="51" t="inlineStr"/>
      <c r="O457" s="51" t="inlineStr"/>
    </row>
    <row r="458" ht="16" customHeight="1">
      <c r="A458" s="12" t="inlineStr">
        <is>
          <t>PhD Machine Learning Engineer, Intern</t>
        </is>
      </c>
      <c r="B458" s="12" t="inlineStr">
        <is>
          <t>Stripe</t>
        </is>
      </c>
      <c r="C458" s="13" t="inlineStr">
        <is>
          <t>2026-03-17T17:31:05-04:00</t>
        </is>
      </c>
      <c r="D458" s="13" t="inlineStr"/>
      <c r="E458" s="13" t="inlineStr">
        <is>
          <t>NY</t>
        </is>
      </c>
      <c r="F458" s="14" t="n">
        <v>4</v>
      </c>
      <c r="G458" s="13" t="inlineStr">
        <is>
          <t>Greenhouse</t>
        </is>
      </c>
      <c r="H458" s="12" t="inlineStr">
        <is>
          <t>San Francisco, New York City, Seattle</t>
        </is>
      </c>
      <c r="I458" s="15">
        <f>HYPERLINK("https://stripe.com/jobs/search?gh_jid=7216664","↗")</f>
        <v/>
      </c>
      <c r="J458" s="13" t="inlineStr">
        <is>
          <t>No</t>
        </is>
      </c>
      <c r="K458" s="13" t="inlineStr"/>
      <c r="L458" s="12" t="inlineStr"/>
      <c r="M458" s="12" t="inlineStr"/>
      <c r="N458" s="12" t="inlineStr"/>
      <c r="O458" s="12" t="inlineStr"/>
    </row>
    <row r="459" ht="16" customHeight="1">
      <c r="A459" s="12" t="inlineStr">
        <is>
          <t>Strategy &amp; Analytics MBA Intern</t>
        </is>
      </c>
      <c r="B459" s="12" t="inlineStr">
        <is>
          <t>Faire</t>
        </is>
      </c>
      <c r="C459" s="13" t="inlineStr">
        <is>
          <t>2026-03-04T14:04:58-05:00</t>
        </is>
      </c>
      <c r="D459" s="13" t="inlineStr"/>
      <c r="E459" s="13" t="inlineStr">
        <is>
          <t>NY</t>
        </is>
      </c>
      <c r="F459" s="14" t="n">
        <v>4</v>
      </c>
      <c r="G459" s="13" t="inlineStr">
        <is>
          <t>Greenhouse</t>
        </is>
      </c>
      <c r="H459" s="12" t="inlineStr">
        <is>
          <t>New York City, NY</t>
        </is>
      </c>
      <c r="I459" s="15">
        <f>HYPERLINK("https://boards.greenhouse.io/faire/jobs/8350876002?gh_jid=8350876002","↗")</f>
        <v/>
      </c>
      <c r="J459" s="13" t="inlineStr">
        <is>
          <t>No</t>
        </is>
      </c>
      <c r="K459" s="13" t="inlineStr"/>
      <c r="L459" s="12" t="inlineStr"/>
      <c r="M459" s="12" t="inlineStr"/>
      <c r="N459" s="12" t="inlineStr"/>
      <c r="O459" s="12" t="inlineStr"/>
    </row>
    <row r="460" ht="16" customHeight="1">
      <c r="A460" s="51" t="inlineStr">
        <is>
          <t>Director, Business Development, Autonomous Airpower Growth (International)</t>
        </is>
      </c>
      <c r="B460" s="51" t="inlineStr">
        <is>
          <t>Anduril</t>
        </is>
      </c>
      <c r="C460" s="52" t="inlineStr">
        <is>
          <t>2026-03-20T18:28:22-04:00</t>
        </is>
      </c>
      <c r="D460" s="52" t="inlineStr"/>
      <c r="E460" s="52" t="inlineStr">
        <is>
          <t>WA</t>
        </is>
      </c>
      <c r="F460" s="57" t="n">
        <v>4</v>
      </c>
      <c r="G460" s="52" t="inlineStr">
        <is>
          <t>Greenhouse</t>
        </is>
      </c>
      <c r="H460" s="51" t="inlineStr">
        <is>
          <t>Washington, District of Columbia, United States</t>
        </is>
      </c>
      <c r="I460" s="53">
        <f>HYPERLINK("https://boards.greenhouse.io/andurilindustries/jobs/4993730007?gh_jid=4993730007","↗")</f>
        <v/>
      </c>
      <c r="J460" s="52" t="inlineStr">
        <is>
          <t>No</t>
        </is>
      </c>
      <c r="K460" s="52" t="inlineStr"/>
      <c r="L460" s="51" t="inlineStr"/>
      <c r="M460" s="51" t="inlineStr"/>
      <c r="N460" s="51" t="inlineStr"/>
      <c r="O460" s="51" t="inlineStr"/>
    </row>
    <row r="461" ht="16" customHeight="1">
      <c r="A461" s="51" t="inlineStr">
        <is>
          <t>Mission Development MBA Intern 2026 - Clearance Required</t>
        </is>
      </c>
      <c r="B461" s="51" t="inlineStr">
        <is>
          <t>Vannevar Labs</t>
        </is>
      </c>
      <c r="C461" s="52" t="inlineStr">
        <is>
          <t>2026-03-03T11:52:46-05:00</t>
        </is>
      </c>
      <c r="D461" s="52" t="inlineStr"/>
      <c r="E461" s="52" t="inlineStr">
        <is>
          <t>CA</t>
        </is>
      </c>
      <c r="F461" s="57" t="n">
        <v>4</v>
      </c>
      <c r="G461" s="52" t="inlineStr">
        <is>
          <t>Greenhouse</t>
        </is>
      </c>
      <c r="H461" s="51" t="inlineStr">
        <is>
          <t>Honolulu, Hawaii, United States; San Diego, California; Washington, District of Columbia, United States</t>
        </is>
      </c>
      <c r="I461" s="53">
        <f>HYPERLINK("https://job-boards.greenhouse.io/vannevarlabs/jobs/4360278007","↗")</f>
        <v/>
      </c>
      <c r="J461" s="52" t="inlineStr">
        <is>
          <t>No</t>
        </is>
      </c>
      <c r="K461" s="52" t="inlineStr"/>
      <c r="L461" s="51" t="inlineStr"/>
      <c r="M461" s="51" t="inlineStr"/>
      <c r="N461" s="51" t="inlineStr"/>
      <c r="O461" s="51" t="inlineStr"/>
    </row>
    <row r="462" ht="16" customHeight="1">
      <c r="A462" s="51" t="inlineStr">
        <is>
          <t>Engagement Manager, International Public Sector</t>
        </is>
      </c>
      <c r="B462" s="51" t="inlineStr">
        <is>
          <t>Scale AI</t>
        </is>
      </c>
      <c r="C462" s="52" t="inlineStr">
        <is>
          <t>2026-03-17T15:50:51-04:00</t>
        </is>
      </c>
      <c r="D462" s="52" t="inlineStr"/>
      <c r="E462" s="52" t="inlineStr"/>
      <c r="F462" s="57" t="n">
        <v>4</v>
      </c>
      <c r="G462" s="52" t="inlineStr">
        <is>
          <t>Greenhouse</t>
        </is>
      </c>
      <c r="H462" s="51" t="inlineStr">
        <is>
          <t xml:space="preserve">Doha, Qatar </t>
        </is>
      </c>
      <c r="I462" s="53">
        <f>HYPERLINK("https://job-boards.greenhouse.io/scaleai/jobs/4593823005","↗")</f>
        <v/>
      </c>
      <c r="J462" s="52" t="inlineStr">
        <is>
          <t>No</t>
        </is>
      </c>
      <c r="K462" s="52" t="inlineStr"/>
      <c r="L462" s="51" t="inlineStr"/>
      <c r="M462" s="51" t="inlineStr"/>
      <c r="N462" s="51" t="inlineStr"/>
      <c r="O462" s="51" t="inlineStr"/>
    </row>
    <row r="463" ht="16" customHeight="1">
      <c r="A463" s="51" t="inlineStr">
        <is>
          <t>MBA Intern - Technical Program Management (TPM)</t>
        </is>
      </c>
      <c r="B463" s="51" t="inlineStr">
        <is>
          <t>Databricks</t>
        </is>
      </c>
      <c r="C463" s="52" t="inlineStr">
        <is>
          <t>2026-02-25T14:23:25-05:00</t>
        </is>
      </c>
      <c r="D463" s="52" t="inlineStr"/>
      <c r="E463" s="52" t="inlineStr">
        <is>
          <t>CA</t>
        </is>
      </c>
      <c r="F463" s="57" t="n">
        <v>4</v>
      </c>
      <c r="G463" s="52" t="inlineStr">
        <is>
          <t>Greenhouse</t>
        </is>
      </c>
      <c r="H463" s="51" t="inlineStr">
        <is>
          <t>Mountain View, California; San Francisco, California</t>
        </is>
      </c>
      <c r="I463" s="53">
        <f>HYPERLINK("https://databricks.com/company/careers/open-positions/job?gh_jid=8399537002","↗")</f>
        <v/>
      </c>
      <c r="J463" s="52" t="inlineStr">
        <is>
          <t>No</t>
        </is>
      </c>
      <c r="K463" s="52" t="inlineStr"/>
      <c r="L463" s="51" t="inlineStr"/>
      <c r="M463" s="51" t="inlineStr"/>
      <c r="N463" s="51" t="inlineStr"/>
      <c r="O463" s="51" t="inlineStr"/>
    </row>
    <row r="464" ht="16" customHeight="1">
      <c r="A464" s="51" t="inlineStr">
        <is>
          <t>PhD GenAI Research Scientist Intern</t>
        </is>
      </c>
      <c r="B464" s="51" t="inlineStr">
        <is>
          <t>Databricks</t>
        </is>
      </c>
      <c r="C464" s="52" t="inlineStr">
        <is>
          <t>2026-02-19T14:47:26-05:00</t>
        </is>
      </c>
      <c r="D464" s="52" t="inlineStr"/>
      <c r="E464" s="52" t="inlineStr">
        <is>
          <t>CA</t>
        </is>
      </c>
      <c r="F464" s="57" t="n">
        <v>4</v>
      </c>
      <c r="G464" s="52" t="inlineStr">
        <is>
          <t>Greenhouse</t>
        </is>
      </c>
      <c r="H464" s="51" t="inlineStr">
        <is>
          <t>San Francisco, California</t>
        </is>
      </c>
      <c r="I464" s="53">
        <f>HYPERLINK("https://databricks.com/company/careers/open-positions/job?gh_jid=7011263002","↗")</f>
        <v/>
      </c>
      <c r="J464" s="52" t="inlineStr">
        <is>
          <t>No</t>
        </is>
      </c>
      <c r="K464" s="52" t="inlineStr"/>
      <c r="L464" s="51" t="inlineStr"/>
      <c r="M464" s="51" t="inlineStr"/>
      <c r="N464" s="51" t="inlineStr"/>
      <c r="O464" s="51" t="inlineStr"/>
    </row>
    <row r="465" ht="16" customHeight="1">
      <c r="A465" s="51" t="inlineStr">
        <is>
          <t>Business Development Representative (BDR) Intern (Summer 2026)</t>
        </is>
      </c>
      <c r="B465" s="51" t="inlineStr">
        <is>
          <t>Cloudflare</t>
        </is>
      </c>
      <c r="C465" s="52" t="inlineStr">
        <is>
          <t>2026-02-24T19:02:40-05:00</t>
        </is>
      </c>
      <c r="D465" s="52" t="inlineStr"/>
      <c r="E465" s="52" t="inlineStr"/>
      <c r="F465" s="57" t="n">
        <v>4</v>
      </c>
      <c r="G465" s="52" t="inlineStr">
        <is>
          <t>Greenhouse</t>
        </is>
      </c>
      <c r="H465" s="51" t="inlineStr">
        <is>
          <t>In-Office</t>
        </is>
      </c>
      <c r="I465" s="53">
        <f>HYPERLINK("https://boards.greenhouse.io/cloudflare/jobs/7652528?gh_jid=7652528","↗")</f>
        <v/>
      </c>
      <c r="J465" s="52" t="inlineStr">
        <is>
          <t>No</t>
        </is>
      </c>
      <c r="K465" s="52" t="inlineStr"/>
      <c r="L465" s="51" t="inlineStr"/>
      <c r="M465" s="51" t="inlineStr"/>
      <c r="N465" s="51" t="inlineStr"/>
      <c r="O465" s="51" t="inlineStr"/>
    </row>
    <row r="466" ht="16" customHeight="1">
      <c r="A466" s="51" t="inlineStr">
        <is>
          <t>Business Development Representative Intern (Summer 2026)</t>
        </is>
      </c>
      <c r="B466" s="51" t="inlineStr">
        <is>
          <t>Cloudflare</t>
        </is>
      </c>
      <c r="C466" s="52" t="inlineStr">
        <is>
          <t>2026-03-12T20:35:36-04:00</t>
        </is>
      </c>
      <c r="D466" s="52" t="inlineStr"/>
      <c r="E466" s="52" t="inlineStr"/>
      <c r="F466" s="57" t="n">
        <v>4</v>
      </c>
      <c r="G466" s="52" t="inlineStr">
        <is>
          <t>Greenhouse</t>
        </is>
      </c>
      <c r="H466" s="51" t="inlineStr">
        <is>
          <t>In-Office</t>
        </is>
      </c>
      <c r="I466" s="53">
        <f>HYPERLINK("https://boards.greenhouse.io/cloudflare/jobs/7714540?gh_jid=7714540","↗")</f>
        <v/>
      </c>
      <c r="J466" s="52" t="inlineStr">
        <is>
          <t>No</t>
        </is>
      </c>
      <c r="K466" s="52" t="inlineStr"/>
      <c r="L466" s="51" t="inlineStr"/>
      <c r="M466" s="51" t="inlineStr"/>
      <c r="N466" s="51" t="inlineStr"/>
      <c r="O466" s="51" t="inlineStr"/>
    </row>
    <row r="467" ht="16" customHeight="1">
      <c r="A467" s="51" t="inlineStr">
        <is>
          <t>Data Analytics Intern (Summer 2026)</t>
        </is>
      </c>
      <c r="B467" s="51" t="inlineStr">
        <is>
          <t>Cloudflare</t>
        </is>
      </c>
      <c r="C467" s="52" t="inlineStr">
        <is>
          <t>2026-03-05T13:19:53-05:00</t>
        </is>
      </c>
      <c r="D467" s="52" t="inlineStr"/>
      <c r="E467" s="52" t="inlineStr"/>
      <c r="F467" s="57" t="n">
        <v>4</v>
      </c>
      <c r="G467" s="52" t="inlineStr">
        <is>
          <t>Greenhouse</t>
        </is>
      </c>
      <c r="H467" s="51" t="inlineStr">
        <is>
          <t>In-Office</t>
        </is>
      </c>
      <c r="I467" s="53">
        <f>HYPERLINK("https://boards.greenhouse.io/cloudflare/jobs/7668989?gh_jid=7668989","↗")</f>
        <v/>
      </c>
      <c r="J467" s="52" t="inlineStr">
        <is>
          <t>No</t>
        </is>
      </c>
      <c r="K467" s="52" t="inlineStr"/>
      <c r="L467" s="51" t="inlineStr"/>
      <c r="M467" s="51" t="inlineStr"/>
      <c r="N467" s="51" t="inlineStr"/>
      <c r="O467" s="51" t="inlineStr"/>
    </row>
    <row r="468" ht="16" customHeight="1">
      <c r="A468" s="51" t="inlineStr">
        <is>
          <t xml:space="preserve">EIAM Business Enablement &amp; Operations Intern (Summer 2026) </t>
        </is>
      </c>
      <c r="B468" s="51" t="inlineStr">
        <is>
          <t>Cloudflare</t>
        </is>
      </c>
      <c r="C468" s="52" t="inlineStr">
        <is>
          <t>2026-02-06T10:04:45-05:00</t>
        </is>
      </c>
      <c r="D468" s="52" t="inlineStr"/>
      <c r="E468" s="52" t="inlineStr"/>
      <c r="F468" s="57" t="n">
        <v>4</v>
      </c>
      <c r="G468" s="52" t="inlineStr">
        <is>
          <t>Greenhouse</t>
        </is>
      </c>
      <c r="H468" s="51" t="inlineStr">
        <is>
          <t>In-Office</t>
        </is>
      </c>
      <c r="I468" s="53">
        <f>HYPERLINK("https://boards.greenhouse.io/cloudflare/jobs/7575040?gh_jid=7575040","↗")</f>
        <v/>
      </c>
      <c r="J468" s="52" t="inlineStr">
        <is>
          <t>No</t>
        </is>
      </c>
      <c r="K468" s="52" t="inlineStr"/>
      <c r="L468" s="51" t="inlineStr"/>
      <c r="M468" s="51" t="inlineStr"/>
      <c r="N468" s="51" t="inlineStr"/>
      <c r="O468" s="51" t="inlineStr"/>
    </row>
    <row r="469" ht="16" customHeight="1">
      <c r="A469" s="51" t="inlineStr">
        <is>
          <t xml:space="preserve">GRC Team Intern (Summer 2026) </t>
        </is>
      </c>
      <c r="B469" s="51" t="inlineStr">
        <is>
          <t>Cloudflare</t>
        </is>
      </c>
      <c r="C469" s="52" t="inlineStr">
        <is>
          <t>2026-03-12T18:01:03-04:00</t>
        </is>
      </c>
      <c r="D469" s="52" t="inlineStr"/>
      <c r="E469" s="52" t="inlineStr"/>
      <c r="F469" s="57" t="n">
        <v>4</v>
      </c>
      <c r="G469" s="52" t="inlineStr">
        <is>
          <t>Greenhouse</t>
        </is>
      </c>
      <c r="H469" s="51" t="inlineStr">
        <is>
          <t>In-Office</t>
        </is>
      </c>
      <c r="I469" s="53">
        <f>HYPERLINK("https://boards.greenhouse.io/cloudflare/jobs/7577564?gh_jid=7577564","↗")</f>
        <v/>
      </c>
      <c r="J469" s="52" t="inlineStr">
        <is>
          <t>No</t>
        </is>
      </c>
      <c r="K469" s="52" t="inlineStr"/>
      <c r="L469" s="51" t="inlineStr"/>
      <c r="M469" s="51" t="inlineStr"/>
      <c r="N469" s="51" t="inlineStr"/>
      <c r="O469" s="51" t="inlineStr"/>
    </row>
    <row r="470" ht="16" customHeight="1">
      <c r="A470" s="51" t="inlineStr">
        <is>
          <t xml:space="preserve">GRC Team Intern (Summer 2026) </t>
        </is>
      </c>
      <c r="B470" s="51" t="inlineStr">
        <is>
          <t>Cloudflare</t>
        </is>
      </c>
      <c r="C470" s="52" t="inlineStr">
        <is>
          <t>2026-02-06T10:04:45-05:00</t>
        </is>
      </c>
      <c r="D470" s="52" t="inlineStr"/>
      <c r="E470" s="52" t="inlineStr"/>
      <c r="F470" s="57" t="n">
        <v>4</v>
      </c>
      <c r="G470" s="52" t="inlineStr">
        <is>
          <t>Greenhouse</t>
        </is>
      </c>
      <c r="H470" s="51" t="inlineStr">
        <is>
          <t>In-Office</t>
        </is>
      </c>
      <c r="I470" s="53">
        <f>HYPERLINK("https://boards.greenhouse.io/cloudflare/jobs/7574862?gh_jid=7574862","↗")</f>
        <v/>
      </c>
      <c r="J470" s="52" t="inlineStr">
        <is>
          <t>No</t>
        </is>
      </c>
      <c r="K470" s="52" t="inlineStr"/>
      <c r="L470" s="51" t="inlineStr"/>
      <c r="M470" s="51" t="inlineStr"/>
      <c r="N470" s="51" t="inlineStr"/>
      <c r="O470" s="51" t="inlineStr"/>
    </row>
    <row r="471" ht="16" customHeight="1">
      <c r="A471" s="51" t="inlineStr">
        <is>
          <t xml:space="preserve">GRC Team Intern (Summer 2026) </t>
        </is>
      </c>
      <c r="B471" s="51" t="inlineStr">
        <is>
          <t>Cloudflare</t>
        </is>
      </c>
      <c r="C471" s="52" t="inlineStr">
        <is>
          <t>2026-02-06T10:04:45-05:00</t>
        </is>
      </c>
      <c r="D471" s="52" t="inlineStr"/>
      <c r="E471" s="52" t="inlineStr"/>
      <c r="F471" s="57" t="n">
        <v>4</v>
      </c>
      <c r="G471" s="52" t="inlineStr">
        <is>
          <t>Greenhouse</t>
        </is>
      </c>
      <c r="H471" s="51" t="inlineStr">
        <is>
          <t>In-Office</t>
        </is>
      </c>
      <c r="I471" s="53">
        <f>HYPERLINK("https://boards.greenhouse.io/cloudflare/jobs/7578549?gh_jid=7578549","↗")</f>
        <v/>
      </c>
      <c r="J471" s="52" t="inlineStr">
        <is>
          <t>No</t>
        </is>
      </c>
      <c r="K471" s="52" t="inlineStr"/>
      <c r="L471" s="51" t="inlineStr"/>
      <c r="M471" s="51" t="inlineStr"/>
      <c r="N471" s="51" t="inlineStr"/>
      <c r="O471" s="51" t="inlineStr"/>
    </row>
    <row r="472" ht="16" customHeight="1">
      <c r="A472" s="51" t="inlineStr">
        <is>
          <t>Internal Audit Intern (Summer 2026)</t>
        </is>
      </c>
      <c r="B472" s="51" t="inlineStr">
        <is>
          <t>Cloudflare</t>
        </is>
      </c>
      <c r="C472" s="52" t="inlineStr">
        <is>
          <t>2026-02-25T13:50:18-05:00</t>
        </is>
      </c>
      <c r="D472" s="52" t="inlineStr"/>
      <c r="E472" s="52" t="inlineStr"/>
      <c r="F472" s="57" t="n">
        <v>4</v>
      </c>
      <c r="G472" s="52" t="inlineStr">
        <is>
          <t>Greenhouse</t>
        </is>
      </c>
      <c r="H472" s="51" t="inlineStr">
        <is>
          <t>In-Office</t>
        </is>
      </c>
      <c r="I472" s="53">
        <f>HYPERLINK("https://boards.greenhouse.io/cloudflare/jobs/7652742?gh_jid=7652742","↗")</f>
        <v/>
      </c>
      <c r="J472" s="52" t="inlineStr">
        <is>
          <t>No</t>
        </is>
      </c>
      <c r="K472" s="52" t="inlineStr"/>
      <c r="L472" s="51" t="inlineStr"/>
      <c r="M472" s="51" t="inlineStr"/>
      <c r="N472" s="51" t="inlineStr"/>
      <c r="O472" s="51" t="inlineStr"/>
    </row>
    <row r="473" ht="16" customHeight="1">
      <c r="A473" s="51" t="inlineStr">
        <is>
          <t>Network Deployment Engineer Intern (Summer 2026)</t>
        </is>
      </c>
      <c r="B473" s="51" t="inlineStr">
        <is>
          <t>Cloudflare</t>
        </is>
      </c>
      <c r="C473" s="52" t="inlineStr">
        <is>
          <t>2026-03-19T05:12:43-04:00</t>
        </is>
      </c>
      <c r="D473" s="52" t="inlineStr"/>
      <c r="E473" s="52" t="inlineStr"/>
      <c r="F473" s="57" t="n">
        <v>4</v>
      </c>
      <c r="G473" s="52" t="inlineStr">
        <is>
          <t>Greenhouse</t>
        </is>
      </c>
      <c r="H473" s="51" t="inlineStr">
        <is>
          <t>In-Office</t>
        </is>
      </c>
      <c r="I473" s="53">
        <f>HYPERLINK("https://boards.greenhouse.io/cloudflare/jobs/7714657?gh_jid=7714657","↗")</f>
        <v/>
      </c>
      <c r="J473" s="52" t="inlineStr">
        <is>
          <t>No</t>
        </is>
      </c>
      <c r="K473" s="52" t="inlineStr"/>
      <c r="L473" s="51" t="inlineStr"/>
      <c r="M473" s="51" t="inlineStr"/>
      <c r="N473" s="51" t="inlineStr"/>
      <c r="O473" s="51" t="inlineStr"/>
    </row>
    <row r="474" ht="16" customHeight="1">
      <c r="A474" s="51" t="inlineStr">
        <is>
          <t>Physical Security Intern (Summer 2026)</t>
        </is>
      </c>
      <c r="B474" s="51" t="inlineStr">
        <is>
          <t>Cloudflare</t>
        </is>
      </c>
      <c r="C474" s="52" t="inlineStr">
        <is>
          <t>2026-02-06T10:04:45-05:00</t>
        </is>
      </c>
      <c r="D474" s="52" t="inlineStr"/>
      <c r="E474" s="52" t="inlineStr"/>
      <c r="F474" s="57" t="n">
        <v>4</v>
      </c>
      <c r="G474" s="52" t="inlineStr">
        <is>
          <t>Greenhouse</t>
        </is>
      </c>
      <c r="H474" s="51" t="inlineStr">
        <is>
          <t>In-Office</t>
        </is>
      </c>
      <c r="I474" s="53">
        <f>HYPERLINK("https://boards.greenhouse.io/cloudflare/jobs/7577080?gh_jid=7577080","↗")</f>
        <v/>
      </c>
      <c r="J474" s="52" t="inlineStr">
        <is>
          <t>No</t>
        </is>
      </c>
      <c r="K474" s="52" t="inlineStr"/>
      <c r="L474" s="51" t="inlineStr"/>
      <c r="M474" s="51" t="inlineStr"/>
      <c r="N474" s="51" t="inlineStr"/>
      <c r="O474" s="51" t="inlineStr"/>
    </row>
    <row r="475" ht="16" customHeight="1">
      <c r="A475" s="51" t="inlineStr">
        <is>
          <t>Product Design Intern (Summer 2026)</t>
        </is>
      </c>
      <c r="B475" s="51" t="inlineStr">
        <is>
          <t>Cloudflare</t>
        </is>
      </c>
      <c r="C475" s="52" t="inlineStr">
        <is>
          <t>2026-02-06T10:04:45-05:00</t>
        </is>
      </c>
      <c r="D475" s="52" t="inlineStr"/>
      <c r="E475" s="52" t="inlineStr"/>
      <c r="F475" s="57" t="n">
        <v>4</v>
      </c>
      <c r="G475" s="52" t="inlineStr">
        <is>
          <t>Greenhouse</t>
        </is>
      </c>
      <c r="H475" s="51" t="inlineStr">
        <is>
          <t>In-Office</t>
        </is>
      </c>
      <c r="I475" s="53">
        <f>HYPERLINK("https://boards.greenhouse.io/cloudflare/jobs/7492740?gh_jid=7492740","↗")</f>
        <v/>
      </c>
      <c r="J475" s="52" t="inlineStr">
        <is>
          <t>No</t>
        </is>
      </c>
      <c r="K475" s="52" t="inlineStr"/>
      <c r="L475" s="51" t="inlineStr"/>
      <c r="M475" s="51" t="inlineStr"/>
      <c r="N475" s="51" t="inlineStr"/>
      <c r="O475" s="51" t="inlineStr"/>
    </row>
    <row r="476" ht="16" customHeight="1">
      <c r="A476" s="51" t="inlineStr">
        <is>
          <t>Product Design Intern (Summer 2026)</t>
        </is>
      </c>
      <c r="B476" s="51" t="inlineStr">
        <is>
          <t>Cloudflare</t>
        </is>
      </c>
      <c r="C476" s="52" t="inlineStr">
        <is>
          <t>2026-02-06T10:04:45-05:00</t>
        </is>
      </c>
      <c r="D476" s="52" t="inlineStr"/>
      <c r="E476" s="52" t="inlineStr"/>
      <c r="F476" s="57" t="n">
        <v>4</v>
      </c>
      <c r="G476" s="52" t="inlineStr">
        <is>
          <t>Greenhouse</t>
        </is>
      </c>
      <c r="H476" s="51" t="inlineStr">
        <is>
          <t>In-Office</t>
        </is>
      </c>
      <c r="I476" s="53">
        <f>HYPERLINK("https://boards.greenhouse.io/cloudflare/jobs/7494477?gh_jid=7494477","↗")</f>
        <v/>
      </c>
      <c r="J476" s="52" t="inlineStr">
        <is>
          <t>No</t>
        </is>
      </c>
      <c r="K476" s="52" t="inlineStr"/>
      <c r="L476" s="51" t="inlineStr"/>
      <c r="M476" s="51" t="inlineStr"/>
      <c r="N476" s="51" t="inlineStr"/>
      <c r="O476" s="51" t="inlineStr"/>
    </row>
    <row r="477" ht="16" customHeight="1">
      <c r="A477" s="51" t="inlineStr">
        <is>
          <t>Product Manager Intern (Summer 2026)</t>
        </is>
      </c>
      <c r="B477" s="51" t="inlineStr">
        <is>
          <t>Cloudflare</t>
        </is>
      </c>
      <c r="C477" s="52" t="inlineStr">
        <is>
          <t>2026-02-06T10:04:45-05:00</t>
        </is>
      </c>
      <c r="D477" s="52" t="inlineStr"/>
      <c r="E477" s="52" t="inlineStr"/>
      <c r="F477" s="57" t="n">
        <v>4</v>
      </c>
      <c r="G477" s="52" t="inlineStr">
        <is>
          <t>Greenhouse</t>
        </is>
      </c>
      <c r="H477" s="51" t="inlineStr">
        <is>
          <t>In-Office</t>
        </is>
      </c>
      <c r="I477" s="53">
        <f>HYPERLINK("https://boards.greenhouse.io/cloudflare/jobs/7362103?gh_jid=7362103","↗")</f>
        <v/>
      </c>
      <c r="J477" s="52" t="inlineStr">
        <is>
          <t>No</t>
        </is>
      </c>
      <c r="K477" s="52" t="inlineStr"/>
      <c r="L477" s="51" t="inlineStr"/>
      <c r="M477" s="51" t="inlineStr"/>
      <c r="N477" s="51" t="inlineStr"/>
      <c r="O477" s="51" t="inlineStr"/>
    </row>
    <row r="478" ht="16" customHeight="1">
      <c r="A478" s="51" t="inlineStr">
        <is>
          <t>Product Manager Intern (Summer 2026)</t>
        </is>
      </c>
      <c r="B478" s="51" t="inlineStr">
        <is>
          <t>Cloudflare</t>
        </is>
      </c>
      <c r="C478" s="52" t="inlineStr">
        <is>
          <t>2026-02-27T12:58:21-05:00</t>
        </is>
      </c>
      <c r="D478" s="52" t="inlineStr"/>
      <c r="E478" s="52" t="inlineStr"/>
      <c r="F478" s="57" t="n">
        <v>4</v>
      </c>
      <c r="G478" s="52" t="inlineStr">
        <is>
          <t>Greenhouse</t>
        </is>
      </c>
      <c r="H478" s="51" t="inlineStr">
        <is>
          <t>In-Office</t>
        </is>
      </c>
      <c r="I478" s="53">
        <f>HYPERLINK("https://boards.greenhouse.io/cloudflare/jobs/7362113?gh_jid=7362113","↗")</f>
        <v/>
      </c>
      <c r="J478" s="52" t="inlineStr">
        <is>
          <t>No</t>
        </is>
      </c>
      <c r="K478" s="52" t="inlineStr"/>
      <c r="L478" s="51" t="inlineStr"/>
      <c r="M478" s="51" t="inlineStr"/>
      <c r="N478" s="51" t="inlineStr"/>
      <c r="O478" s="51" t="inlineStr"/>
    </row>
    <row r="479" ht="16" customHeight="1">
      <c r="A479" s="51" t="inlineStr">
        <is>
          <t>Product Manager Intern (Summer 2026)</t>
        </is>
      </c>
      <c r="B479" s="51" t="inlineStr">
        <is>
          <t>Cloudflare</t>
        </is>
      </c>
      <c r="C479" s="52" t="inlineStr">
        <is>
          <t>2026-02-06T10:04:45-05:00</t>
        </is>
      </c>
      <c r="D479" s="52" t="inlineStr"/>
      <c r="E479" s="52" t="inlineStr"/>
      <c r="F479" s="57" t="n">
        <v>4</v>
      </c>
      <c r="G479" s="52" t="inlineStr">
        <is>
          <t>Greenhouse</t>
        </is>
      </c>
      <c r="H479" s="51" t="inlineStr">
        <is>
          <t>In-Office</t>
        </is>
      </c>
      <c r="I479" s="53">
        <f>HYPERLINK("https://boards.greenhouse.io/cloudflare/jobs/7362080?gh_jid=7362080","↗")</f>
        <v/>
      </c>
      <c r="J479" s="52" t="inlineStr">
        <is>
          <t>No</t>
        </is>
      </c>
      <c r="K479" s="52" t="inlineStr"/>
      <c r="L479" s="51" t="inlineStr"/>
      <c r="M479" s="51" t="inlineStr"/>
      <c r="N479" s="51" t="inlineStr"/>
      <c r="O479" s="51" t="inlineStr"/>
    </row>
    <row r="480" ht="16" customHeight="1">
      <c r="A480" s="51" t="inlineStr">
        <is>
          <t xml:space="preserve"> Red Team Security Intern (Summer 2026) </t>
        </is>
      </c>
      <c r="B480" s="51" t="inlineStr">
        <is>
          <t>Cloudflare</t>
        </is>
      </c>
      <c r="C480" s="52" t="inlineStr">
        <is>
          <t>2026-02-06T11:24:20-05:00</t>
        </is>
      </c>
      <c r="D480" s="52" t="inlineStr"/>
      <c r="E480" s="52" t="inlineStr"/>
      <c r="F480" s="57" t="n">
        <v>4</v>
      </c>
      <c r="G480" s="52" t="inlineStr">
        <is>
          <t>Greenhouse</t>
        </is>
      </c>
      <c r="H480" s="51" t="inlineStr">
        <is>
          <t>In-Office</t>
        </is>
      </c>
      <c r="I480" s="53">
        <f>HYPERLINK("https://boards.greenhouse.io/cloudflare/jobs/7578802?gh_jid=7578802","↗")</f>
        <v/>
      </c>
      <c r="J480" s="52" t="inlineStr">
        <is>
          <t>No</t>
        </is>
      </c>
      <c r="K480" s="52" t="inlineStr"/>
      <c r="L480" s="51" t="inlineStr"/>
      <c r="M480" s="51" t="inlineStr"/>
      <c r="N480" s="51" t="inlineStr"/>
      <c r="O480" s="51" t="inlineStr"/>
    </row>
    <row r="481" ht="16" customHeight="1">
      <c r="A481" s="51" t="inlineStr">
        <is>
          <t>Research Engineer Intern (Summer 2026)</t>
        </is>
      </c>
      <c r="B481" s="51" t="inlineStr">
        <is>
          <t>Cloudflare</t>
        </is>
      </c>
      <c r="C481" s="52" t="inlineStr">
        <is>
          <t>2026-02-06T10:04:45-05:00</t>
        </is>
      </c>
      <c r="D481" s="52" t="inlineStr"/>
      <c r="E481" s="52" t="inlineStr"/>
      <c r="F481" s="57" t="n">
        <v>4</v>
      </c>
      <c r="G481" s="52" t="inlineStr">
        <is>
          <t>Greenhouse</t>
        </is>
      </c>
      <c r="H481" s="51" t="inlineStr">
        <is>
          <t>In-Office</t>
        </is>
      </c>
      <c r="I481" s="53">
        <f>HYPERLINK("https://boards.greenhouse.io/cloudflare/jobs/7359136?gh_jid=7359136","↗")</f>
        <v/>
      </c>
      <c r="J481" s="52" t="inlineStr">
        <is>
          <t>No</t>
        </is>
      </c>
      <c r="K481" s="52" t="inlineStr"/>
      <c r="L481" s="51" t="inlineStr"/>
      <c r="M481" s="51" t="inlineStr"/>
      <c r="N481" s="51" t="inlineStr"/>
      <c r="O481" s="51" t="inlineStr"/>
    </row>
    <row r="482" ht="16" customHeight="1">
      <c r="A482" s="51" t="inlineStr">
        <is>
          <t>Research Engineer Intern (Summer 2026)</t>
        </is>
      </c>
      <c r="B482" s="51" t="inlineStr">
        <is>
          <t>Cloudflare</t>
        </is>
      </c>
      <c r="C482" s="52" t="inlineStr">
        <is>
          <t>2026-02-06T10:04:45-05:00</t>
        </is>
      </c>
      <c r="D482" s="52" t="inlineStr"/>
      <c r="E482" s="52" t="inlineStr"/>
      <c r="F482" s="57" t="n">
        <v>4</v>
      </c>
      <c r="G482" s="52" t="inlineStr">
        <is>
          <t>Greenhouse</t>
        </is>
      </c>
      <c r="H482" s="51" t="inlineStr">
        <is>
          <t>In-Office</t>
        </is>
      </c>
      <c r="I482" s="53">
        <f>HYPERLINK("https://boards.greenhouse.io/cloudflare/jobs/7359147?gh_jid=7359147","↗")</f>
        <v/>
      </c>
      <c r="J482" s="52" t="inlineStr">
        <is>
          <t>No</t>
        </is>
      </c>
      <c r="K482" s="52" t="inlineStr"/>
      <c r="L482" s="51" t="inlineStr"/>
      <c r="M482" s="51" t="inlineStr"/>
      <c r="N482" s="51" t="inlineStr"/>
      <c r="O482" s="51" t="inlineStr"/>
    </row>
    <row r="483" ht="16" customHeight="1">
      <c r="A483" s="51" t="inlineStr">
        <is>
          <t>Research Engineer Intern (Summer 2026)</t>
        </is>
      </c>
      <c r="B483" s="51" t="inlineStr">
        <is>
          <t>Cloudflare</t>
        </is>
      </c>
      <c r="C483" s="52" t="inlineStr">
        <is>
          <t>2026-02-06T10:04:45-05:00</t>
        </is>
      </c>
      <c r="D483" s="52" t="inlineStr"/>
      <c r="E483" s="52" t="inlineStr"/>
      <c r="F483" s="57" t="n">
        <v>4</v>
      </c>
      <c r="G483" s="52" t="inlineStr">
        <is>
          <t>Greenhouse</t>
        </is>
      </c>
      <c r="H483" s="51" t="inlineStr">
        <is>
          <t>In-Office</t>
        </is>
      </c>
      <c r="I483" s="53">
        <f>HYPERLINK("https://boards.greenhouse.io/cloudflare/jobs/7358525?gh_jid=7358525","↗")</f>
        <v/>
      </c>
      <c r="J483" s="52" t="inlineStr">
        <is>
          <t>No</t>
        </is>
      </c>
      <c r="K483" s="52" t="inlineStr"/>
      <c r="L483" s="51" t="inlineStr"/>
      <c r="M483" s="51" t="inlineStr"/>
      <c r="N483" s="51" t="inlineStr"/>
      <c r="O483" s="51" t="inlineStr"/>
    </row>
    <row r="484" ht="16" customHeight="1">
      <c r="A484" s="51" t="inlineStr">
        <is>
          <t>Senior Manager, Global Internal Events</t>
        </is>
      </c>
      <c r="B484" s="51" t="inlineStr">
        <is>
          <t>Cloudflare</t>
        </is>
      </c>
      <c r="C484" s="52" t="inlineStr">
        <is>
          <t>2026-02-06T10:04:45-05:00</t>
        </is>
      </c>
      <c r="D484" s="52" t="inlineStr"/>
      <c r="E484" s="52" t="inlineStr"/>
      <c r="F484" s="57" t="n">
        <v>4</v>
      </c>
      <c r="G484" s="52" t="inlineStr">
        <is>
          <t>Greenhouse</t>
        </is>
      </c>
      <c r="H484" s="51" t="inlineStr">
        <is>
          <t>In-Office</t>
        </is>
      </c>
      <c r="I484" s="53">
        <f>HYPERLINK("https://boards.greenhouse.io/cloudflare/jobs/7314484?gh_jid=7314484","↗")</f>
        <v/>
      </c>
      <c r="J484" s="52" t="inlineStr">
        <is>
          <t>No</t>
        </is>
      </c>
      <c r="K484" s="52" t="inlineStr"/>
      <c r="L484" s="51" t="inlineStr"/>
      <c r="M484" s="51" t="inlineStr"/>
      <c r="N484" s="51" t="inlineStr"/>
      <c r="O484" s="51" t="inlineStr"/>
    </row>
    <row r="485" ht="16" customHeight="1">
      <c r="A485" s="51" t="inlineStr">
        <is>
          <t>Technical Program Manager Intern (Summer 2026)</t>
        </is>
      </c>
      <c r="B485" s="51" t="inlineStr">
        <is>
          <t>Cloudflare</t>
        </is>
      </c>
      <c r="C485" s="52" t="inlineStr">
        <is>
          <t>2026-03-10T20:16:01-04:00</t>
        </is>
      </c>
      <c r="D485" s="52" t="inlineStr"/>
      <c r="E485" s="52" t="inlineStr"/>
      <c r="F485" s="57" t="n">
        <v>4</v>
      </c>
      <c r="G485" s="52" t="inlineStr">
        <is>
          <t>Greenhouse</t>
        </is>
      </c>
      <c r="H485" s="51" t="inlineStr">
        <is>
          <t>In-Office</t>
        </is>
      </c>
      <c r="I485" s="53">
        <f>HYPERLINK("https://boards.greenhouse.io/cloudflare/jobs/7702175?gh_jid=7702175","↗")</f>
        <v/>
      </c>
      <c r="J485" s="52" t="inlineStr">
        <is>
          <t>No</t>
        </is>
      </c>
      <c r="K485" s="52" t="inlineStr"/>
      <c r="L485" s="51" t="inlineStr"/>
      <c r="M485" s="51" t="inlineStr"/>
      <c r="N485" s="51" t="inlineStr"/>
      <c r="O485" s="51" t="inlineStr"/>
    </row>
    <row r="486" ht="16" customHeight="1">
      <c r="A486" s="51" t="inlineStr">
        <is>
          <t>Technical Program Manager Intern (Summer 2026)</t>
        </is>
      </c>
      <c r="B486" s="51" t="inlineStr">
        <is>
          <t>Cloudflare</t>
        </is>
      </c>
      <c r="C486" s="52" t="inlineStr">
        <is>
          <t>2026-03-11T20:44:06-04:00</t>
        </is>
      </c>
      <c r="D486" s="52" t="inlineStr"/>
      <c r="E486" s="52" t="inlineStr"/>
      <c r="F486" s="57" t="n">
        <v>4</v>
      </c>
      <c r="G486" s="52" t="inlineStr">
        <is>
          <t>Greenhouse</t>
        </is>
      </c>
      <c r="H486" s="51" t="inlineStr">
        <is>
          <t>In-Office</t>
        </is>
      </c>
      <c r="I486" s="53">
        <f>HYPERLINK("https://boards.greenhouse.io/cloudflare/jobs/7702476?gh_jid=7702476","↗")</f>
        <v/>
      </c>
      <c r="J486" s="52" t="inlineStr">
        <is>
          <t>No</t>
        </is>
      </c>
      <c r="K486" s="52" t="inlineStr"/>
      <c r="L486" s="51" t="inlineStr"/>
      <c r="M486" s="51" t="inlineStr"/>
      <c r="N486" s="51" t="inlineStr"/>
      <c r="O486" s="51" t="inlineStr"/>
    </row>
    <row r="487" ht="16" customHeight="1">
      <c r="A487" s="51" t="inlineStr">
        <is>
          <t>Technical Support Engineer Intern (Summer 2026)</t>
        </is>
      </c>
      <c r="B487" s="51" t="inlineStr">
        <is>
          <t>Cloudflare</t>
        </is>
      </c>
      <c r="C487" s="52" t="inlineStr">
        <is>
          <t>2026-03-19T12:56:29-04:00</t>
        </is>
      </c>
      <c r="D487" s="52" t="inlineStr"/>
      <c r="E487" s="52" t="inlineStr"/>
      <c r="F487" s="57" t="n">
        <v>4</v>
      </c>
      <c r="G487" s="52" t="inlineStr">
        <is>
          <t>Greenhouse</t>
        </is>
      </c>
      <c r="H487" s="51" t="inlineStr">
        <is>
          <t>In-Office</t>
        </is>
      </c>
      <c r="I487" s="53">
        <f>HYPERLINK("https://boards.greenhouse.io/cloudflare/jobs/7726977?gh_jid=7726977","↗")</f>
        <v/>
      </c>
      <c r="J487" s="52" t="inlineStr">
        <is>
          <t>No</t>
        </is>
      </c>
      <c r="K487" s="52" t="inlineStr"/>
      <c r="L487" s="51" t="inlineStr"/>
      <c r="M487" s="51" t="inlineStr"/>
      <c r="N487" s="51" t="inlineStr"/>
      <c r="O487" s="51" t="inlineStr"/>
    </row>
    <row r="488" ht="16" customHeight="1">
      <c r="A488" s="51" t="inlineStr">
        <is>
          <t>Technical Support Engineer Intern (Summer 2026)</t>
        </is>
      </c>
      <c r="B488" s="51" t="inlineStr">
        <is>
          <t>Cloudflare</t>
        </is>
      </c>
      <c r="C488" s="52" t="inlineStr">
        <is>
          <t>2026-03-19T12:57:37-04:00</t>
        </is>
      </c>
      <c r="D488" s="52" t="inlineStr"/>
      <c r="E488" s="52" t="inlineStr"/>
      <c r="F488" s="57" t="n">
        <v>4</v>
      </c>
      <c r="G488" s="52" t="inlineStr">
        <is>
          <t>Greenhouse</t>
        </is>
      </c>
      <c r="H488" s="51" t="inlineStr">
        <is>
          <t>In-Office</t>
        </is>
      </c>
      <c r="I488" s="53">
        <f>HYPERLINK("https://boards.greenhouse.io/cloudflare/jobs/7726879?gh_jid=7726879","↗")</f>
        <v/>
      </c>
      <c r="J488" s="52" t="inlineStr">
        <is>
          <t>No</t>
        </is>
      </c>
      <c r="K488" s="52" t="inlineStr"/>
      <c r="L488" s="51" t="inlineStr"/>
      <c r="M488" s="51" t="inlineStr"/>
      <c r="N488" s="51" t="inlineStr"/>
      <c r="O488" s="51" t="inlineStr"/>
    </row>
    <row r="489" ht="16" customHeight="1">
      <c r="A489" s="51" t="inlineStr">
        <is>
          <t>Technical Support Engineer Intern (Summer 2026)</t>
        </is>
      </c>
      <c r="B489" s="51" t="inlineStr">
        <is>
          <t>Cloudflare</t>
        </is>
      </c>
      <c r="C489" s="52" t="inlineStr">
        <is>
          <t>2026-03-19T12:37:34-04:00</t>
        </is>
      </c>
      <c r="D489" s="52" t="inlineStr"/>
      <c r="E489" s="52" t="inlineStr"/>
      <c r="F489" s="57" t="n">
        <v>4</v>
      </c>
      <c r="G489" s="52" t="inlineStr">
        <is>
          <t>Greenhouse</t>
        </is>
      </c>
      <c r="H489" s="51" t="inlineStr">
        <is>
          <t>In-Office</t>
        </is>
      </c>
      <c r="I489" s="53">
        <f>HYPERLINK("https://boards.greenhouse.io/cloudflare/jobs/7726055?gh_jid=7726055","↗")</f>
        <v/>
      </c>
      <c r="J489" s="52" t="inlineStr">
        <is>
          <t>No</t>
        </is>
      </c>
      <c r="K489" s="52" t="inlineStr"/>
      <c r="L489" s="51" t="inlineStr"/>
      <c r="M489" s="51" t="inlineStr"/>
      <c r="N489" s="51" t="inlineStr"/>
      <c r="O489" s="51" t="inlineStr"/>
    </row>
    <row r="490" ht="16" customHeight="1">
      <c r="A490" s="51" t="inlineStr">
        <is>
          <t>Threat Detection and Incident Response Intern (Summer 2026)</t>
        </is>
      </c>
      <c r="B490" s="51" t="inlineStr">
        <is>
          <t>Cloudflare</t>
        </is>
      </c>
      <c r="C490" s="52" t="inlineStr">
        <is>
          <t>2026-03-05T09:20:56-05:00</t>
        </is>
      </c>
      <c r="D490" s="52" t="inlineStr"/>
      <c r="E490" s="52" t="inlineStr"/>
      <c r="F490" s="57" t="n">
        <v>4</v>
      </c>
      <c r="G490" s="52" t="inlineStr">
        <is>
          <t>Greenhouse</t>
        </is>
      </c>
      <c r="H490" s="51" t="inlineStr">
        <is>
          <t>In-Office</t>
        </is>
      </c>
      <c r="I490" s="53">
        <f>HYPERLINK("https://boards.greenhouse.io/cloudflare/jobs/7578761?gh_jid=7578761","↗")</f>
        <v/>
      </c>
      <c r="J490" s="52" t="inlineStr">
        <is>
          <t>No</t>
        </is>
      </c>
      <c r="K490" s="52" t="inlineStr"/>
      <c r="L490" s="51" t="inlineStr"/>
      <c r="M490" s="51" t="inlineStr"/>
      <c r="N490" s="51" t="inlineStr"/>
      <c r="O490" s="51" t="inlineStr"/>
    </row>
    <row r="491" ht="16" customHeight="1">
      <c r="A491" s="51" t="inlineStr">
        <is>
          <t>Threat Detection and Incident Response Intern (Summer 2026)</t>
        </is>
      </c>
      <c r="B491" s="51" t="inlineStr">
        <is>
          <t>Cloudflare</t>
        </is>
      </c>
      <c r="C491" s="52" t="inlineStr">
        <is>
          <t>2026-03-12T03:00:25-04:00</t>
        </is>
      </c>
      <c r="D491" s="52" t="inlineStr"/>
      <c r="E491" s="52" t="inlineStr"/>
      <c r="F491" s="57" t="n">
        <v>4</v>
      </c>
      <c r="G491" s="52" t="inlineStr">
        <is>
          <t>Greenhouse</t>
        </is>
      </c>
      <c r="H491" s="51" t="inlineStr">
        <is>
          <t>In-Office</t>
        </is>
      </c>
      <c r="I491" s="53">
        <f>HYPERLINK("https://boards.greenhouse.io/cloudflare/jobs/7578913?gh_jid=7578913","↗")</f>
        <v/>
      </c>
      <c r="J491" s="52" t="inlineStr">
        <is>
          <t>No</t>
        </is>
      </c>
      <c r="K491" s="52" t="inlineStr"/>
      <c r="L491" s="51" t="inlineStr"/>
      <c r="M491" s="51" t="inlineStr"/>
      <c r="N491" s="51" t="inlineStr"/>
      <c r="O491" s="51" t="inlineStr"/>
    </row>
    <row r="492" ht="16" customHeight="1">
      <c r="A492" s="51" t="inlineStr">
        <is>
          <t>Threat Detection and Incident Response Intern (Summer 2026)</t>
        </is>
      </c>
      <c r="B492" s="51" t="inlineStr">
        <is>
          <t>Cloudflare</t>
        </is>
      </c>
      <c r="C492" s="52" t="inlineStr">
        <is>
          <t>2026-02-06T10:04:45-05:00</t>
        </is>
      </c>
      <c r="D492" s="52" t="inlineStr"/>
      <c r="E492" s="52" t="inlineStr"/>
      <c r="F492" s="57" t="n">
        <v>4</v>
      </c>
      <c r="G492" s="52" t="inlineStr">
        <is>
          <t>Greenhouse</t>
        </is>
      </c>
      <c r="H492" s="51" t="inlineStr">
        <is>
          <t>In-Office</t>
        </is>
      </c>
      <c r="I492" s="53">
        <f>HYPERLINK("https://boards.greenhouse.io/cloudflare/jobs/7577205?gh_jid=7577205","↗")</f>
        <v/>
      </c>
      <c r="J492" s="52" t="inlineStr">
        <is>
          <t>No</t>
        </is>
      </c>
      <c r="K492" s="52" t="inlineStr"/>
      <c r="L492" s="51" t="inlineStr"/>
      <c r="M492" s="51" t="inlineStr"/>
      <c r="N492" s="51" t="inlineStr"/>
      <c r="O492" s="51" t="inlineStr"/>
    </row>
    <row r="493" ht="16" customHeight="1">
      <c r="A493" s="51" t="inlineStr">
        <is>
          <t>Machine Learning Engineer Intern</t>
        </is>
      </c>
      <c r="B493" s="51" t="inlineStr">
        <is>
          <t>Coinbase</t>
        </is>
      </c>
      <c r="C493" s="52" t="inlineStr">
        <is>
          <t>2026-03-06T00:54:32-05:00</t>
        </is>
      </c>
      <c r="D493" s="52" t="inlineStr"/>
      <c r="E493" s="52" t="inlineStr">
        <is>
          <t>CA</t>
        </is>
      </c>
      <c r="F493" s="57" t="n">
        <v>4</v>
      </c>
      <c r="G493" s="52" t="inlineStr">
        <is>
          <t>Greenhouse</t>
        </is>
      </c>
      <c r="H493" s="51" t="inlineStr">
        <is>
          <t>Hybrid - San Francisco, CA</t>
        </is>
      </c>
      <c r="I493" s="53">
        <f>HYPERLINK("https://www.coinbase.com/careers/positions/7294075?gh_jid=7294075","↗")</f>
        <v/>
      </c>
      <c r="J493" s="52" t="inlineStr">
        <is>
          <t>No</t>
        </is>
      </c>
      <c r="K493" s="52" t="inlineStr"/>
      <c r="L493" s="51" t="inlineStr"/>
      <c r="M493" s="51" t="inlineStr"/>
      <c r="N493" s="51" t="inlineStr"/>
      <c r="O493" s="51" t="inlineStr"/>
    </row>
    <row r="494" ht="16" customHeight="1">
      <c r="A494" s="51" t="inlineStr">
        <is>
          <t>Engineering Intern, R&amp;D</t>
        </is>
      </c>
      <c r="B494" s="51" t="inlineStr">
        <is>
          <t>Surmodics</t>
        </is>
      </c>
      <c r="C494" s="52" t="inlineStr">
        <is>
          <t>2026-03-17T13:03:32-04:00</t>
        </is>
      </c>
      <c r="D494" s="52" t="inlineStr"/>
      <c r="E494" s="52" t="inlineStr">
        <is>
          <t>MI</t>
        </is>
      </c>
      <c r="F494" s="57" t="n">
        <v>4</v>
      </c>
      <c r="G494" s="52" t="inlineStr">
        <is>
          <t>Greenhouse</t>
        </is>
      </c>
      <c r="H494" s="51" t="inlineStr">
        <is>
          <t>Eden Prairie, Minnesota, United States</t>
        </is>
      </c>
      <c r="I494" s="53">
        <f>HYPERLINK("https://job-boards.greenhouse.io/surmodics/jobs/7667759003","↗")</f>
        <v/>
      </c>
      <c r="J494" s="52" t="inlineStr">
        <is>
          <t>No</t>
        </is>
      </c>
      <c r="K494" s="52" t="inlineStr"/>
      <c r="L494" s="51" t="inlineStr"/>
      <c r="M494" s="51" t="inlineStr"/>
      <c r="N494" s="51" t="inlineStr"/>
      <c r="O494" s="51" t="inlineStr"/>
    </row>
    <row r="495" ht="16" customHeight="1">
      <c r="A495" s="51" t="inlineStr">
        <is>
          <t>Mechanical Engineering, Intern</t>
        </is>
      </c>
      <c r="B495" s="51" t="inlineStr">
        <is>
          <t>Nuro</t>
        </is>
      </c>
      <c r="C495" s="52" t="inlineStr">
        <is>
          <t>2026-03-17T13:56:56-04:00</t>
        </is>
      </c>
      <c r="D495" s="52" t="inlineStr"/>
      <c r="E495" s="52" t="inlineStr">
        <is>
          <t>CA</t>
        </is>
      </c>
      <c r="F495" s="57" t="n">
        <v>4</v>
      </c>
      <c r="G495" s="52" t="inlineStr">
        <is>
          <t>Greenhouse</t>
        </is>
      </c>
      <c r="H495" s="51" t="inlineStr">
        <is>
          <t>Mountain View, California (HQ)</t>
        </is>
      </c>
      <c r="I495" s="53">
        <f>HYPERLINK("https://nuro.ai/careersitem?gh_jid=7673851","↗")</f>
        <v/>
      </c>
      <c r="J495" s="52" t="inlineStr">
        <is>
          <t>No</t>
        </is>
      </c>
      <c r="K495" s="52" t="inlineStr"/>
      <c r="L495" s="51" t="inlineStr"/>
      <c r="M495" s="51" t="inlineStr"/>
      <c r="N495" s="51" t="inlineStr"/>
      <c r="O495" s="51" t="inlineStr"/>
    </row>
    <row r="496" ht="16" customHeight="1">
      <c r="A496" s="51" t="inlineStr">
        <is>
          <t xml:space="preserve">Technical Program Manager Intern </t>
        </is>
      </c>
      <c r="B496" s="51" t="inlineStr">
        <is>
          <t>Nuro</t>
        </is>
      </c>
      <c r="C496" s="52" t="inlineStr">
        <is>
          <t>2026-03-11T17:49:13-04:00</t>
        </is>
      </c>
      <c r="D496" s="52" t="inlineStr"/>
      <c r="E496" s="52" t="inlineStr">
        <is>
          <t>CA</t>
        </is>
      </c>
      <c r="F496" s="57" t="n">
        <v>4</v>
      </c>
      <c r="G496" s="52" t="inlineStr">
        <is>
          <t>Greenhouse</t>
        </is>
      </c>
      <c r="H496" s="51" t="inlineStr">
        <is>
          <t>Mountain View, California (HQ)</t>
        </is>
      </c>
      <c r="I496" s="53">
        <f>HYPERLINK("https://nuro.ai/careersitem?gh_jid=7532449","↗")</f>
        <v/>
      </c>
      <c r="J496" s="52" t="inlineStr">
        <is>
          <t>No</t>
        </is>
      </c>
      <c r="K496" s="52" t="inlineStr"/>
      <c r="L496" s="51" t="inlineStr"/>
      <c r="M496" s="51" t="inlineStr"/>
      <c r="N496" s="51" t="inlineStr"/>
      <c r="O496" s="51" t="inlineStr"/>
    </row>
    <row r="497" ht="16" customHeight="1">
      <c r="A497" s="54" t="inlineStr">
        <is>
          <t>Machine Learning Engineer Intern (Ph.D), Perception</t>
        </is>
      </c>
      <c r="B497" s="54" t="inlineStr">
        <is>
          <t>Zoox</t>
        </is>
      </c>
      <c r="C497" s="55" t="inlineStr">
        <is>
          <t>1763505146194</t>
        </is>
      </c>
      <c r="D497" s="55" t="inlineStr"/>
      <c r="E497" s="55" t="inlineStr">
        <is>
          <t>CA</t>
        </is>
      </c>
      <c r="F497" s="58" t="n">
        <v>4</v>
      </c>
      <c r="G497" s="55" t="inlineStr">
        <is>
          <t>Lever</t>
        </is>
      </c>
      <c r="H497" s="54" t="inlineStr">
        <is>
          <t>Foster City, CA</t>
        </is>
      </c>
      <c r="I497" s="56">
        <f>HYPERLINK("https://jobs.lever.co/zoox/9b3ab3ee-b130-49b6-8413-7d8fd9c33ed3","↗")</f>
        <v/>
      </c>
      <c r="J497" s="55" t="inlineStr">
        <is>
          <t>No</t>
        </is>
      </c>
      <c r="K497" s="55" t="inlineStr"/>
      <c r="L497" s="54" t="inlineStr"/>
      <c r="M497" s="54" t="inlineStr"/>
      <c r="N497" s="54" t="inlineStr"/>
      <c r="O497" s="54" t="inlineStr"/>
    </row>
    <row r="498" ht="16" customHeight="1">
      <c r="A498" s="54" t="inlineStr">
        <is>
          <t>Machine Learning Engineer Intern, Simulation</t>
        </is>
      </c>
      <c r="B498" s="54" t="inlineStr">
        <is>
          <t>Zoox</t>
        </is>
      </c>
      <c r="C498" s="55" t="inlineStr">
        <is>
          <t>1763504799414</t>
        </is>
      </c>
      <c r="D498" s="55" t="inlineStr"/>
      <c r="E498" s="55" t="inlineStr">
        <is>
          <t>CA</t>
        </is>
      </c>
      <c r="F498" s="58" t="n">
        <v>4</v>
      </c>
      <c r="G498" s="55" t="inlineStr">
        <is>
          <t>Lever</t>
        </is>
      </c>
      <c r="H498" s="54" t="inlineStr">
        <is>
          <t>Foster City, CA</t>
        </is>
      </c>
      <c r="I498" s="56">
        <f>HYPERLINK("https://jobs.lever.co/zoox/f24a2d0c-bda7-48ff-9c83-9a96900128b7","↗")</f>
        <v/>
      </c>
      <c r="J498" s="55" t="inlineStr">
        <is>
          <t>No</t>
        </is>
      </c>
      <c r="K498" s="55" t="inlineStr"/>
      <c r="L498" s="54" t="inlineStr"/>
      <c r="M498" s="54" t="inlineStr"/>
      <c r="N498" s="54" t="inlineStr"/>
      <c r="O498" s="54" t="inlineStr"/>
    </row>
    <row r="499" ht="16" customHeight="1">
      <c r="A499" s="54" t="inlineStr">
        <is>
          <t>Signal Processing Intern</t>
        </is>
      </c>
      <c r="B499" s="54" t="inlineStr">
        <is>
          <t>Zoox</t>
        </is>
      </c>
      <c r="C499" s="55" t="inlineStr">
        <is>
          <t>1765319278432</t>
        </is>
      </c>
      <c r="D499" s="55" t="inlineStr"/>
      <c r="E499" s="55" t="inlineStr">
        <is>
          <t>CA</t>
        </is>
      </c>
      <c r="F499" s="58" t="n">
        <v>4</v>
      </c>
      <c r="G499" s="55" t="inlineStr">
        <is>
          <t>Lever</t>
        </is>
      </c>
      <c r="H499" s="54" t="inlineStr">
        <is>
          <t>Foster City, CA</t>
        </is>
      </c>
      <c r="I499" s="56">
        <f>HYPERLINK("https://jobs.lever.co/zoox/96857e0b-d39c-4505-b0b4-9a14c7d9db58","↗")</f>
        <v/>
      </c>
      <c r="J499" s="55" t="inlineStr">
        <is>
          <t>No</t>
        </is>
      </c>
      <c r="K499" s="55" t="inlineStr"/>
      <c r="L499" s="54" t="inlineStr"/>
      <c r="M499" s="54" t="inlineStr"/>
      <c r="N499" s="54" t="inlineStr"/>
      <c r="O499" s="54" t="inlineStr"/>
    </row>
  </sheetData>
  <autoFilter ref="A1:O499"/>
  <dataValidations count="3">
    <dataValidation sqref="J2:J499" showDropDown="0" showInputMessage="0" showErrorMessage="0" allowBlank="1" type="list">
      <formula1>"Yes,No"</formula1>
    </dataValidation>
    <dataValidation sqref="K2:K499" showDropDown="0" showInputMessage="0" showErrorMessage="0" allowBlank="1" type="list">
      <formula1>"1,2,3,4,5"</formula1>
    </dataValidation>
    <dataValidation sqref="N2:N499" showDropDown="0" showInputMessage="0" showErrorMessage="0" allowBlank="1" type="list">
      <formula1>"Applied,Interviewing,Offer,Rejected,Too Lazy"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4" customWidth="1" min="3" max="3"/>
    <col width="16" customWidth="1" min="4" max="4"/>
    <col width="24" customWidth="1" min="5" max="5"/>
    <col width="16" customWidth="1" min="6" max="6"/>
  </cols>
  <sheetData>
    <row r="1" ht="28" customHeight="1">
      <c r="A1" s="59" t="inlineStr">
        <is>
          <t>Job Tracker — Stats</t>
        </is>
      </c>
    </row>
    <row r="2" ht="14" customHeight="1">
      <c r="A2" s="60" t="inlineStr">
        <is>
          <t>Generated: 2026-03-21 01:43</t>
        </is>
      </c>
    </row>
    <row r="4" ht="20" customHeight="1">
      <c r="A4" s="61" t="inlineStr">
        <is>
          <t>Total Jobs</t>
        </is>
      </c>
      <c r="C4" s="61" t="inlineStr">
        <is>
          <t>Applied</t>
        </is>
      </c>
      <c r="E4" s="61" t="inlineStr">
        <is>
          <t>New This Week</t>
        </is>
      </c>
    </row>
    <row r="5" ht="28" customHeight="1">
      <c r="A5" s="62" t="n">
        <v>498</v>
      </c>
      <c r="C5" s="62" t="n">
        <v>0</v>
      </c>
      <c r="E5" s="62" t="n">
        <v>193</v>
      </c>
    </row>
    <row r="6" ht="20" customHeight="1">
      <c r="A6" s="61" t="inlineStr">
        <is>
          <t>Avg Score</t>
        </is>
      </c>
    </row>
    <row r="7" ht="28" customHeight="1">
      <c r="A7" s="62" t="n">
        <v>7.2</v>
      </c>
    </row>
    <row r="9" ht="20" customHeight="1">
      <c r="A9" s="63" t="inlineStr">
        <is>
          <t>Jobs by Source</t>
        </is>
      </c>
      <c r="C9" s="63" t="inlineStr">
        <is>
          <t>Jobs by State</t>
        </is>
      </c>
      <c r="E9" s="63" t="inlineStr">
        <is>
          <t>Top Companies</t>
        </is>
      </c>
    </row>
    <row r="10" ht="18" customHeight="1">
      <c r="A10" s="61" t="inlineStr">
        <is>
          <t>Source</t>
        </is>
      </c>
      <c r="B10" s="61" t="inlineStr">
        <is>
          <t>Count</t>
        </is>
      </c>
      <c r="C10" s="61" t="inlineStr">
        <is>
          <t>State</t>
        </is>
      </c>
      <c r="D10" s="61" t="inlineStr">
        <is>
          <t>Count</t>
        </is>
      </c>
      <c r="E10" s="61" t="inlineStr">
        <is>
          <t>Company</t>
        </is>
      </c>
      <c r="F10" s="61" t="inlineStr">
        <is>
          <t>Listings</t>
        </is>
      </c>
    </row>
    <row r="11" ht="16" customHeight="1">
      <c r="A11" s="64" t="inlineStr">
        <is>
          <t>Simplify</t>
        </is>
      </c>
      <c r="B11" s="65" t="n">
        <v>341</v>
      </c>
      <c r="C11" s="64" t="inlineStr">
        <is>
          <t>CA</t>
        </is>
      </c>
      <c r="D11" s="65" t="n">
        <v>140</v>
      </c>
      <c r="E11" s="64" t="inlineStr">
        <is>
          <t>Cloudflare</t>
        </is>
      </c>
      <c r="F11" s="65" t="n">
        <v>41</v>
      </c>
    </row>
    <row r="12" ht="16" customHeight="1">
      <c r="A12" s="66" t="inlineStr">
        <is>
          <t>Greenhouse</t>
        </is>
      </c>
      <c r="B12" s="67" t="n">
        <v>109</v>
      </c>
      <c r="C12" s="66" t="inlineStr">
        <is>
          <t>Other</t>
        </is>
      </c>
      <c r="D12" s="67" t="n">
        <v>108</v>
      </c>
      <c r="E12" s="66" t="inlineStr">
        <is>
          <t>Palantir</t>
        </is>
      </c>
      <c r="F12" s="67" t="n">
        <v>17</v>
      </c>
    </row>
    <row r="13" ht="16" customHeight="1">
      <c r="A13" s="64" t="inlineStr">
        <is>
          <t>AlmondCroffle</t>
        </is>
      </c>
      <c r="B13" s="65" t="n">
        <v>24</v>
      </c>
      <c r="C13" s="64" t="inlineStr">
        <is>
          <t>NY</t>
        </is>
      </c>
      <c r="D13" s="65" t="n">
        <v>38</v>
      </c>
      <c r="E13" s="64" t="inlineStr">
        <is>
          <t>Databricks</t>
        </is>
      </c>
      <c r="F13" s="65" t="n">
        <v>11</v>
      </c>
    </row>
    <row r="14" ht="16" customHeight="1">
      <c r="A14" s="66" t="inlineStr">
        <is>
          <t>Lever</t>
        </is>
      </c>
      <c r="B14" s="67" t="n">
        <v>24</v>
      </c>
      <c r="C14" s="66" t="inlineStr">
        <is>
          <t>Remote</t>
        </is>
      </c>
      <c r="D14" s="67" t="n">
        <v>32</v>
      </c>
      <c r="E14" s="66" t="inlineStr">
        <is>
          <t>GE Vernova</t>
        </is>
      </c>
      <c r="F14" s="67" t="n">
        <v>9</v>
      </c>
    </row>
    <row r="15" ht="16" customHeight="1">
      <c r="C15" s="64" t="inlineStr">
        <is>
          <t>TX</t>
        </is>
      </c>
      <c r="D15" s="65" t="n">
        <v>24</v>
      </c>
      <c r="E15" s="64" t="inlineStr">
        <is>
          <t>General Dynamics Mission Systems</t>
        </is>
      </c>
      <c r="F15" s="65" t="n">
        <v>9</v>
      </c>
    </row>
    <row r="16" ht="16" customHeight="1">
      <c r="C16" s="66" t="inlineStr">
        <is>
          <t>MA</t>
        </is>
      </c>
      <c r="D16" s="67" t="n">
        <v>22</v>
      </c>
      <c r="E16" s="66" t="inlineStr">
        <is>
          <t>Zoox</t>
        </is>
      </c>
      <c r="F16" s="67" t="n">
        <v>8</v>
      </c>
    </row>
    <row r="17" ht="16" customHeight="1">
      <c r="C17" s="64" t="inlineStr">
        <is>
          <t>PA</t>
        </is>
      </c>
      <c r="D17" s="65" t="n">
        <v>22</v>
      </c>
      <c r="E17" s="64" t="inlineStr">
        <is>
          <t>The Walt Disney Company</t>
        </is>
      </c>
      <c r="F17" s="65" t="n">
        <v>7</v>
      </c>
    </row>
    <row r="18" ht="16" customHeight="1">
      <c r="C18" s="66" t="inlineStr">
        <is>
          <t>IL</t>
        </is>
      </c>
      <c r="D18" s="67" t="n">
        <v>20</v>
      </c>
      <c r="E18" s="66" t="inlineStr">
        <is>
          <t>Cadence Design Systems</t>
        </is>
      </c>
      <c r="F18" s="67" t="n">
        <v>6</v>
      </c>
    </row>
    <row r="19" ht="16" customHeight="1">
      <c r="C19" s="64" t="inlineStr">
        <is>
          <t>WA</t>
        </is>
      </c>
      <c r="D19" s="65" t="n">
        <v>17</v>
      </c>
      <c r="E19" s="64" t="inlineStr">
        <is>
          <t>Robert Bosch Venture Capital</t>
        </is>
      </c>
      <c r="F19" s="65" t="n">
        <v>6</v>
      </c>
    </row>
    <row r="20" ht="16" customHeight="1">
      <c r="C20" s="66" t="inlineStr">
        <is>
          <t>VA</t>
        </is>
      </c>
      <c r="D20" s="67" t="n">
        <v>15</v>
      </c>
      <c r="E20" s="66" t="inlineStr">
        <is>
          <t>Hewlett Packard (HP)</t>
        </is>
      </c>
      <c r="F20" s="67" t="n">
        <v>6</v>
      </c>
    </row>
    <row r="21" ht="16" customHeight="1">
      <c r="C21" s="64" t="inlineStr">
        <is>
          <t>MI</t>
        </is>
      </c>
      <c r="D21" s="65" t="n">
        <v>13</v>
      </c>
      <c r="E21" s="64" t="inlineStr">
        <is>
          <t>Netflix</t>
        </is>
      </c>
      <c r="F21" s="65" t="n">
        <v>6</v>
      </c>
    </row>
    <row r="22" ht="16" customHeight="1">
      <c r="C22" s="66" t="inlineStr">
        <is>
          <t>CO</t>
        </is>
      </c>
      <c r="D22" s="67" t="n">
        <v>10</v>
      </c>
      <c r="E22" s="66" t="inlineStr">
        <is>
          <t>GE Aerospace</t>
        </is>
      </c>
      <c r="F22" s="67" t="n">
        <v>6</v>
      </c>
    </row>
    <row r="23" ht="16" customHeight="1">
      <c r="C23" s="64" t="inlineStr">
        <is>
          <t>NJ</t>
        </is>
      </c>
      <c r="D23" s="65" t="n">
        <v>10</v>
      </c>
      <c r="E23" s="64" t="inlineStr">
        <is>
          <t>Kodiak Robotics</t>
        </is>
      </c>
      <c r="F23" s="65" t="n">
        <v>6</v>
      </c>
    </row>
    <row r="24" ht="16" customHeight="1">
      <c r="C24" s="66" t="inlineStr">
        <is>
          <t>OH</t>
        </is>
      </c>
      <c r="D24" s="67" t="n">
        <v>8</v>
      </c>
      <c r="E24" s="66" t="inlineStr">
        <is>
          <t>Nuro</t>
        </is>
      </c>
      <c r="F24" s="67" t="n">
        <v>6</v>
      </c>
    </row>
    <row r="25" ht="16" customHeight="1">
      <c r="C25" s="64" t="inlineStr">
        <is>
          <t>FL</t>
        </is>
      </c>
      <c r="D25" s="65" t="n">
        <v>7</v>
      </c>
      <c r="E25" s="64" t="inlineStr">
        <is>
          <t>Scale AI</t>
        </is>
      </c>
      <c r="F25" s="65" t="n">
        <v>6</v>
      </c>
    </row>
    <row r="26" ht="16" customHeight="1">
      <c r="C26" s="66" t="inlineStr">
        <is>
          <t>MD</t>
        </is>
      </c>
      <c r="D26" s="67" t="n">
        <v>3</v>
      </c>
    </row>
    <row r="27" ht="16" customHeight="1">
      <c r="C27" s="64" t="inlineStr">
        <is>
          <t>NC</t>
        </is>
      </c>
      <c r="D27" s="65" t="n">
        <v>3</v>
      </c>
    </row>
    <row r="28" ht="16" customHeight="1">
      <c r="C28" s="66" t="inlineStr">
        <is>
          <t>AZ</t>
        </is>
      </c>
      <c r="D28" s="67" t="n">
        <v>3</v>
      </c>
    </row>
    <row r="29" ht="16" customHeight="1">
      <c r="C29" s="64" t="inlineStr">
        <is>
          <t>CT</t>
        </is>
      </c>
      <c r="D29" s="6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2026-03-21T05:43:55Z</dcterms:created>
  <dcterms:modified xsi:type="dcterms:W3CDTF">2026-03-21T05:43:57Z</dcterms:modified>
</cp:coreProperties>
</file>