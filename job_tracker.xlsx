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bs" sheetId="1" state="visible" r:id="rId1"/>
  </sheets>
  <definedNames>
    <definedName name="_xlnm._FilterDatabase" localSheetId="0" hidden="1">'Jobs'!$A$1:$O$224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7B4F00"/>
      <sz val="9"/>
    </font>
    <font>
      <name val="Arial"/>
      <color rgb="001155CC"/>
      <sz val="9"/>
      <u val="single"/>
    </font>
    <font>
      <name val="Arial"/>
      <color rgb="00555555"/>
      <sz val="9"/>
    </font>
    <font>
      <name val="Arial"/>
      <b val="1"/>
      <color rgb="001A6B2A"/>
      <sz val="9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3E5F5"/>
      </patternFill>
    </fill>
    <fill>
      <patternFill patternType="solid">
        <fgColor rgb="00F7F9FC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DEEFF"/>
      </patternFill>
    </fill>
  </fills>
  <borders count="2">
    <border>
      <left/>
      <right/>
      <top/>
      <bottom/>
      <diagonal/>
    </border>
    <border>
      <bottom style="thin">
        <color rgb="00D0D0D0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2" fillId="4" borderId="1" applyAlignment="1" pivotButton="0" quotePrefix="0" xfId="0">
      <alignment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vertical="center"/>
    </xf>
    <xf numFmtId="0" fontId="2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2" fillId="6" borderId="1" applyAlignment="1" pivotButton="0" quotePrefix="0" xfId="0">
      <alignment vertical="center"/>
    </xf>
    <xf numFmtId="0" fontId="2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2" fillId="7" borderId="1" applyAlignment="1" pivotButton="0" quotePrefix="0" xfId="0">
      <alignment vertical="center"/>
    </xf>
    <xf numFmtId="0" fontId="2" fillId="7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2" customWidth="1" min="2" max="2"/>
    <col width="13" customWidth="1" min="3" max="3"/>
    <col width="9" customWidth="1" min="4" max="4"/>
    <col width="8" customWidth="1" min="5" max="5"/>
    <col width="7" customWidth="1" min="6" max="6"/>
    <col width="13" customWidth="1" min="7" max="7"/>
    <col width="28" customWidth="1" min="8" max="8"/>
    <col width="10" customWidth="1" min="9" max="9"/>
    <col width="10" customWidth="1" min="10" max="10"/>
    <col width="9" customWidth="1" min="11" max="11"/>
    <col width="13" customWidth="1" min="12" max="12"/>
    <col width="13" customWidth="1" min="13" max="13"/>
    <col width="16" customWidth="1" min="14" max="14"/>
    <col width="30" customWidth="1" min="15" max="15"/>
  </cols>
  <sheetData>
    <row r="1" ht="22" customHeight="1">
      <c r="A1" s="1" t="inlineStr">
        <is>
          <t>Title</t>
        </is>
      </c>
      <c r="B1" s="1" t="inlineStr">
        <is>
          <t>Company</t>
        </is>
      </c>
      <c r="C1" s="1" t="inlineStr">
        <is>
          <t>Posted Date</t>
        </is>
      </c>
      <c r="D1" s="1" t="inlineStr">
        <is>
          <t>Days Ago</t>
        </is>
      </c>
      <c r="E1" s="1" t="inlineStr">
        <is>
          <t>State</t>
        </is>
      </c>
      <c r="F1" s="1" t="inlineStr">
        <is>
          <t>Score</t>
        </is>
      </c>
      <c r="G1" s="1" t="inlineStr">
        <is>
          <t>Source</t>
        </is>
      </c>
      <c r="H1" s="1" t="inlineStr">
        <is>
          <t>Locations</t>
        </is>
      </c>
      <c r="I1" s="1" t="inlineStr">
        <is>
          <t>Link</t>
        </is>
      </c>
      <c r="J1" s="1" t="inlineStr">
        <is>
          <t>Applied</t>
        </is>
      </c>
      <c r="K1" s="1" t="inlineStr">
        <is>
          <t>Priority</t>
        </is>
      </c>
      <c r="L1" s="1" t="inlineStr">
        <is>
          <t>Resume Ver.</t>
        </is>
      </c>
      <c r="M1" s="1" t="inlineStr">
        <is>
          <t>Cover Letter</t>
        </is>
      </c>
      <c r="N1" s="1" t="inlineStr">
        <is>
          <t>Status</t>
        </is>
      </c>
      <c r="O1" s="1" t="inlineStr">
        <is>
          <t>Notes</t>
        </is>
      </c>
    </row>
    <row r="2">
      <c r="A2" s="2" t="inlineStr">
        <is>
          <t>Software Engineer Intern</t>
        </is>
      </c>
      <c r="B2" s="2" t="inlineStr">
        <is>
          <t>DotDash Meredith</t>
        </is>
      </c>
      <c r="C2" s="3" t="inlineStr">
        <is>
          <t>2026-03-14</t>
        </is>
      </c>
      <c r="D2" s="3" t="n">
        <v>0</v>
      </c>
      <c r="E2" s="3" t="inlineStr">
        <is>
          <t>Remote</t>
        </is>
      </c>
      <c r="F2" s="4" t="n">
        <v>7</v>
      </c>
      <c r="G2" s="3" t="inlineStr">
        <is>
          <t>Simplify</t>
        </is>
      </c>
      <c r="H2" s="2" t="inlineStr">
        <is>
          <t>Remote in Canada</t>
        </is>
      </c>
      <c r="I2" s="5">
        <f>HYPERLINK("https://meredith.wd5.myworkdayjobs.com/en-US/EXT/job/Alberta-CAN-Remote/Software-Engineering-Intern_JR15315-1","Open")</f>
        <v/>
      </c>
      <c r="J2" s="3" t="inlineStr">
        <is>
          <t>No</t>
        </is>
      </c>
      <c r="K2" s="3" t="inlineStr"/>
      <c r="L2" s="2" t="inlineStr"/>
      <c r="M2" s="2" t="inlineStr"/>
      <c r="N2" s="2" t="inlineStr"/>
      <c r="O2" s="2" t="inlineStr"/>
    </row>
    <row r="3">
      <c r="A3" s="6" t="inlineStr">
        <is>
          <t>Machine Learning Annotation and Gen AI Analyst Intern</t>
        </is>
      </c>
      <c r="B3" s="6" t="inlineStr">
        <is>
          <t xml:space="preserve"> CCC Intelligent Solutions</t>
        </is>
      </c>
      <c r="C3" s="7" t="inlineStr">
        <is>
          <t>2026-03-14</t>
        </is>
      </c>
      <c r="D3" s="7" t="n">
        <v>0</v>
      </c>
      <c r="E3" s="7" t="inlineStr">
        <is>
          <t>IL</t>
        </is>
      </c>
      <c r="F3" s="8" t="n">
        <v>5</v>
      </c>
      <c r="G3" s="7" t="inlineStr">
        <is>
          <t>Simplify</t>
        </is>
      </c>
      <c r="H3" s="6" t="inlineStr">
        <is>
          <t>Chicago, IL</t>
        </is>
      </c>
      <c r="I3" s="9">
        <f>HYPERLINK("https://cccis.wd1.myworkdayjobs.com/broadbean_external/job/Chicago-Green-St-IL/Machine-Learning---Annotation-and-Gen-AI-Analyst-Intern_0014537","Open")</f>
        <v/>
      </c>
      <c r="J3" s="7" t="inlineStr">
        <is>
          <t>No</t>
        </is>
      </c>
      <c r="K3" s="7" t="inlineStr"/>
      <c r="L3" s="6" t="inlineStr"/>
      <c r="M3" s="6" t="inlineStr"/>
      <c r="N3" s="6" t="inlineStr"/>
      <c r="O3" s="6" t="inlineStr"/>
    </row>
    <row r="4">
      <c r="A4" s="10" t="inlineStr">
        <is>
          <t>Controls Engineering Intern</t>
        </is>
      </c>
      <c r="B4" s="10" t="inlineStr">
        <is>
          <t>Johnson Controls</t>
        </is>
      </c>
      <c r="C4" s="11" t="inlineStr">
        <is>
          <t>2026-03-14</t>
        </is>
      </c>
      <c r="D4" s="11" t="n">
        <v>0</v>
      </c>
      <c r="E4" s="11" t="inlineStr">
        <is>
          <t>VA</t>
        </is>
      </c>
      <c r="F4" s="12" t="n">
        <v>7</v>
      </c>
      <c r="G4" s="11" t="inlineStr">
        <is>
          <t>Simplify</t>
        </is>
      </c>
      <c r="H4" s="10" t="inlineStr">
        <is>
          <t>Roanoke, VA</t>
        </is>
      </c>
      <c r="I4" s="13">
        <f>HYPERLINK("https://jci.wd5.myworkdayjobs.com/JCI/job/Salem-Virginia-United-States-of-America/Controls-Engineering-Intern_WD30261739","Open")</f>
        <v/>
      </c>
      <c r="J4" s="11" t="inlineStr">
        <is>
          <t>No</t>
        </is>
      </c>
      <c r="K4" s="11" t="inlineStr"/>
      <c r="L4" s="10" t="inlineStr"/>
      <c r="M4" s="10" t="inlineStr"/>
      <c r="N4" s="10" t="inlineStr"/>
      <c r="O4" s="10" t="inlineStr"/>
    </row>
    <row r="5">
      <c r="A5" s="14" t="inlineStr">
        <is>
          <t>Software Engineer Co-Op</t>
        </is>
      </c>
      <c r="B5" s="14" t="inlineStr">
        <is>
          <t>Teledyne</t>
        </is>
      </c>
      <c r="C5" s="15" t="inlineStr">
        <is>
          <t>2026-03-14</t>
        </is>
      </c>
      <c r="D5" s="15" t="n">
        <v>0</v>
      </c>
      <c r="E5" s="15" t="inlineStr">
        <is>
          <t>NJ</t>
        </is>
      </c>
      <c r="F5" s="16" t="n">
        <v>7</v>
      </c>
      <c r="G5" s="15" t="inlineStr">
        <is>
          <t>Simplify</t>
        </is>
      </c>
      <c r="H5" s="14" t="inlineStr">
        <is>
          <t>Mahwah, NJ</t>
        </is>
      </c>
      <c r="I5" s="17">
        <f>HYPERLINK("https://flir.wd1.myworkdayjobs.com/flircareers/job/US---Chestnut-Ridge-NY/Software-Engineer-Co-Op_REQ33472","Open")</f>
        <v/>
      </c>
      <c r="J5" s="15" t="inlineStr">
        <is>
          <t>No</t>
        </is>
      </c>
      <c r="K5" s="15" t="inlineStr"/>
      <c r="L5" s="14" t="inlineStr"/>
      <c r="M5" s="14" t="inlineStr"/>
      <c r="N5" s="14" t="inlineStr"/>
      <c r="O5" s="14" t="inlineStr"/>
    </row>
    <row r="6">
      <c r="A6" s="10" t="inlineStr">
        <is>
          <t>National Security Solutions Intern – Test &amp; Evaluation Intern</t>
        </is>
      </c>
      <c r="B6" s="10" t="inlineStr">
        <is>
          <t>KBR</t>
        </is>
      </c>
      <c r="C6" s="11" t="inlineStr">
        <is>
          <t>2026-03-14</t>
        </is>
      </c>
      <c r="D6" s="11" t="n">
        <v>0</v>
      </c>
      <c r="E6" s="11" t="inlineStr">
        <is>
          <t>CA</t>
        </is>
      </c>
      <c r="F6" s="18" t="n">
        <v>4</v>
      </c>
      <c r="G6" s="11" t="inlineStr">
        <is>
          <t>Simplify</t>
        </is>
      </c>
      <c r="H6" s="10" t="inlineStr">
        <is>
          <t>El Segundo, CA</t>
        </is>
      </c>
      <c r="I6" s="13">
        <f>HYPERLINK("https://kbr.wd5.myworkdayjobs.com/KBR_Careers/job/El-Segundo-California/National-Security-Solutions--NSS--Internship---Test---Evaluation-Intern_R2119802","Open")</f>
        <v/>
      </c>
      <c r="J6" s="11" t="inlineStr">
        <is>
          <t>No</t>
        </is>
      </c>
      <c r="K6" s="11" t="inlineStr"/>
      <c r="L6" s="10" t="inlineStr"/>
      <c r="M6" s="10" t="inlineStr"/>
      <c r="N6" s="10" t="inlineStr"/>
      <c r="O6" s="10" t="inlineStr"/>
    </row>
    <row r="7">
      <c r="A7" s="6" t="inlineStr">
        <is>
          <t>Software Engineer Intern - Internal Apps</t>
        </is>
      </c>
      <c r="B7" s="6" t="inlineStr">
        <is>
          <t>Neuralink</t>
        </is>
      </c>
      <c r="C7" s="7" t="inlineStr">
        <is>
          <t>2026-03-13</t>
        </is>
      </c>
      <c r="D7" s="7" t="n">
        <v>1</v>
      </c>
      <c r="E7" s="7" t="inlineStr">
        <is>
          <t>CA</t>
        </is>
      </c>
      <c r="F7" s="19" t="n">
        <v>7</v>
      </c>
      <c r="G7" s="7" t="inlineStr">
        <is>
          <t>Simplify</t>
        </is>
      </c>
      <c r="H7" s="6" t="inlineStr">
        <is>
          <t>Fremont, CA, Austin, TX</t>
        </is>
      </c>
      <c r="I7" s="9">
        <f>HYPERLINK("https://boards.greenhouse.io/neuralink/jobs/6083322003","Open")</f>
        <v/>
      </c>
      <c r="J7" s="7" t="inlineStr">
        <is>
          <t>No</t>
        </is>
      </c>
      <c r="K7" s="7" t="inlineStr"/>
      <c r="L7" s="6" t="inlineStr"/>
      <c r="M7" s="6" t="inlineStr"/>
      <c r="N7" s="6" t="inlineStr"/>
      <c r="O7" s="6" t="inlineStr"/>
    </row>
    <row r="8">
      <c r="A8" s="2" t="inlineStr">
        <is>
          <t>Software Engineer Intern</t>
        </is>
      </c>
      <c r="B8" s="2" t="inlineStr">
        <is>
          <t>Nextech Systems</t>
        </is>
      </c>
      <c r="C8" s="3" t="inlineStr">
        <is>
          <t>2026-03-13</t>
        </is>
      </c>
      <c r="D8" s="3" t="n">
        <v>1</v>
      </c>
      <c r="E8" s="3" t="inlineStr">
        <is>
          <t>Remote</t>
        </is>
      </c>
      <c r="F8" s="4" t="n">
        <v>7</v>
      </c>
      <c r="G8" s="3" t="inlineStr">
        <is>
          <t>Simplify</t>
        </is>
      </c>
      <c r="H8" s="2" t="inlineStr">
        <is>
          <t>Remote in USA</t>
        </is>
      </c>
      <c r="I8" s="5">
        <f>HYPERLINK("https://jobs.lever.co/nextech/89d21768-992e-4ba5-ad26-eeea7aa27029/apply","Open")</f>
        <v/>
      </c>
      <c r="J8" s="3" t="inlineStr">
        <is>
          <t>No</t>
        </is>
      </c>
      <c r="K8" s="3" t="inlineStr"/>
      <c r="L8" s="2" t="inlineStr"/>
      <c r="M8" s="2" t="inlineStr"/>
      <c r="N8" s="2" t="inlineStr"/>
      <c r="O8" s="2" t="inlineStr"/>
    </row>
    <row r="9">
      <c r="A9" s="2" t="inlineStr">
        <is>
          <t>Software Engineer Intern</t>
        </is>
      </c>
      <c r="B9" s="2" t="inlineStr">
        <is>
          <t>Nextech Systems</t>
        </is>
      </c>
      <c r="C9" s="3" t="inlineStr">
        <is>
          <t>2026-03-13</t>
        </is>
      </c>
      <c r="D9" s="3" t="n">
        <v>1</v>
      </c>
      <c r="E9" s="3" t="inlineStr">
        <is>
          <t>Remote</t>
        </is>
      </c>
      <c r="F9" s="4" t="n">
        <v>7</v>
      </c>
      <c r="G9" s="3" t="inlineStr">
        <is>
          <t>Simplify</t>
        </is>
      </c>
      <c r="H9" s="2" t="inlineStr">
        <is>
          <t>Remote in USA</t>
        </is>
      </c>
      <c r="I9" s="5">
        <f>HYPERLINK("https://jobs.lever.co/nextech/6a898635-d814-497d-b891-59cc0e3616fa/apply","Open")</f>
        <v/>
      </c>
      <c r="J9" s="3" t="inlineStr">
        <is>
          <t>No</t>
        </is>
      </c>
      <c r="K9" s="3" t="inlineStr"/>
      <c r="L9" s="2" t="inlineStr"/>
      <c r="M9" s="2" t="inlineStr"/>
      <c r="N9" s="2" t="inlineStr"/>
      <c r="O9" s="2" t="inlineStr"/>
    </row>
    <row r="10">
      <c r="A10" s="2" t="inlineStr">
        <is>
          <t>Software Engineer Intern</t>
        </is>
      </c>
      <c r="B10" s="2" t="inlineStr">
        <is>
          <t>Nextech Systems</t>
        </is>
      </c>
      <c r="C10" s="3" t="inlineStr">
        <is>
          <t>2026-03-13</t>
        </is>
      </c>
      <c r="D10" s="3" t="n">
        <v>1</v>
      </c>
      <c r="E10" s="3" t="inlineStr">
        <is>
          <t>Remote</t>
        </is>
      </c>
      <c r="F10" s="4" t="n">
        <v>7</v>
      </c>
      <c r="G10" s="3" t="inlineStr">
        <is>
          <t>Simplify</t>
        </is>
      </c>
      <c r="H10" s="2" t="inlineStr">
        <is>
          <t>Remote in USA</t>
        </is>
      </c>
      <c r="I10" s="5">
        <f>HYPERLINK("https://jobs.lever.co/nextech/e1d4f898-5cae-47c5-9618-020188201371/apply","Open")</f>
        <v/>
      </c>
      <c r="J10" s="3" t="inlineStr">
        <is>
          <t>No</t>
        </is>
      </c>
      <c r="K10" s="3" t="inlineStr"/>
      <c r="L10" s="2" t="inlineStr"/>
      <c r="M10" s="2" t="inlineStr"/>
      <c r="N10" s="2" t="inlineStr"/>
      <c r="O10" s="2" t="inlineStr"/>
    </row>
    <row r="11">
      <c r="A11" s="6" t="inlineStr">
        <is>
          <t>Software Engineer Intern</t>
        </is>
      </c>
      <c r="B11" s="6" t="inlineStr">
        <is>
          <t>Leidos</t>
        </is>
      </c>
      <c r="C11" s="7" t="inlineStr">
        <is>
          <t>2026-03-13</t>
        </is>
      </c>
      <c r="D11" s="7" t="n">
        <v>1</v>
      </c>
      <c r="E11" s="7" t="inlineStr"/>
      <c r="F11" s="19" t="n">
        <v>7</v>
      </c>
      <c r="G11" s="7" t="inlineStr">
        <is>
          <t>Simplify</t>
        </is>
      </c>
      <c r="H11" s="6" t="inlineStr">
        <is>
          <t>Huntsville, AL</t>
        </is>
      </c>
      <c r="I11" s="9">
        <f>HYPERLINK("https://leidos.wd5.myworkdayjobs.com/External/job/Huntsville-AL/Software-Engineer-Intern_R-00177800","Open")</f>
        <v/>
      </c>
      <c r="J11" s="7" t="inlineStr">
        <is>
          <t>No</t>
        </is>
      </c>
      <c r="K11" s="7" t="inlineStr"/>
      <c r="L11" s="6" t="inlineStr"/>
      <c r="M11" s="6" t="inlineStr"/>
      <c r="N11" s="6" t="inlineStr"/>
      <c r="O11" s="6" t="inlineStr"/>
    </row>
    <row r="12">
      <c r="A12" s="10" t="inlineStr">
        <is>
          <t>Software Embedded Engineering Intern</t>
        </is>
      </c>
      <c r="B12" s="10" t="inlineStr">
        <is>
          <t>TripleRing</t>
        </is>
      </c>
      <c r="C12" s="11" t="inlineStr">
        <is>
          <t>2026-03-13</t>
        </is>
      </c>
      <c r="D12" s="11" t="n">
        <v>1</v>
      </c>
      <c r="E12" s="11" t="inlineStr">
        <is>
          <t>CA</t>
        </is>
      </c>
      <c r="F12" s="12" t="n">
        <v>8</v>
      </c>
      <c r="G12" s="11" t="inlineStr">
        <is>
          <t>Simplify</t>
        </is>
      </c>
      <c r="H12" s="10" t="inlineStr">
        <is>
          <t>Newark, CA</t>
        </is>
      </c>
      <c r="I12" s="13">
        <f>HYPERLINK("https://www.tripleringtech.com/careers?gh_jid=4673135005","Open")</f>
        <v/>
      </c>
      <c r="J12" s="11" t="inlineStr">
        <is>
          <t>No</t>
        </is>
      </c>
      <c r="K12" s="11" t="inlineStr"/>
      <c r="L12" s="10" t="inlineStr"/>
      <c r="M12" s="10" t="inlineStr"/>
      <c r="N12" s="10" t="inlineStr"/>
      <c r="O12" s="10" t="inlineStr"/>
    </row>
    <row r="13">
      <c r="A13" s="6" t="inlineStr">
        <is>
          <t>Firmware Engineering Intern - Advanced Development</t>
        </is>
      </c>
      <c r="B13" s="6" t="inlineStr">
        <is>
          <t>SharkNinja</t>
        </is>
      </c>
      <c r="C13" s="7" t="inlineStr">
        <is>
          <t>2026-03-13</t>
        </is>
      </c>
      <c r="D13" s="7" t="n">
        <v>1</v>
      </c>
      <c r="E13" s="7" t="inlineStr">
        <is>
          <t>MA</t>
        </is>
      </c>
      <c r="F13" s="8" t="n">
        <v>5</v>
      </c>
      <c r="G13" s="7" t="inlineStr">
        <is>
          <t>Simplify</t>
        </is>
      </c>
      <c r="H13" s="6" t="inlineStr">
        <is>
          <t>Needham, MA</t>
        </is>
      </c>
      <c r="I13" s="9">
        <f>HYPERLINK("https://job-boards.greenhouse.io/sharkninjaoperatingllc/jobs/4600803006","Open")</f>
        <v/>
      </c>
      <c r="J13" s="7" t="inlineStr">
        <is>
          <t>No</t>
        </is>
      </c>
      <c r="K13" s="7" t="inlineStr"/>
      <c r="L13" s="6" t="inlineStr"/>
      <c r="M13" s="6" t="inlineStr"/>
      <c r="N13" s="6" t="inlineStr"/>
      <c r="O13" s="6" t="inlineStr"/>
    </row>
    <row r="14">
      <c r="A14" s="10" t="inlineStr">
        <is>
          <t>Controls Engineer Intern</t>
        </is>
      </c>
      <c r="B14" s="10" t="inlineStr">
        <is>
          <t xml:space="preserve">Foundation </t>
        </is>
      </c>
      <c r="C14" s="11" t="inlineStr">
        <is>
          <t>2026-03-13</t>
        </is>
      </c>
      <c r="D14" s="11" t="n">
        <v>1</v>
      </c>
      <c r="E14" s="11" t="inlineStr"/>
      <c r="F14" s="12" t="n">
        <v>7</v>
      </c>
      <c r="G14" s="11" t="inlineStr">
        <is>
          <t>Simplify</t>
        </is>
      </c>
      <c r="H14" s="10" t="inlineStr">
        <is>
          <t>SF</t>
        </is>
      </c>
      <c r="I14" s="13">
        <f>HYPERLINK("https://ats.rippling.com/foundation-robotics/jobs/6a54984f-bb51-4ccf-a96d-6295a45de689","Open")</f>
        <v/>
      </c>
      <c r="J14" s="11" t="inlineStr">
        <is>
          <t>No</t>
        </is>
      </c>
      <c r="K14" s="11" t="inlineStr"/>
      <c r="L14" s="10" t="inlineStr"/>
      <c r="M14" s="10" t="inlineStr"/>
      <c r="N14" s="10" t="inlineStr"/>
      <c r="O14" s="10" t="inlineStr"/>
    </row>
    <row r="15">
      <c r="A15" s="6" t="inlineStr">
        <is>
          <t>Software Developer Intern</t>
        </is>
      </c>
      <c r="B15" s="6" t="inlineStr">
        <is>
          <t>Nokia</t>
        </is>
      </c>
      <c r="C15" s="7" t="inlineStr">
        <is>
          <t>2026-03-13</t>
        </is>
      </c>
      <c r="D15" s="7" t="n">
        <v>1</v>
      </c>
      <c r="E15" s="7" t="inlineStr">
        <is>
          <t>IL</t>
        </is>
      </c>
      <c r="F15" s="8" t="n">
        <v>5</v>
      </c>
      <c r="G15" s="7" t="inlineStr">
        <is>
          <t>Simplify</t>
        </is>
      </c>
      <c r="H15" s="6" t="inlineStr">
        <is>
          <t>Naperville, IL</t>
        </is>
      </c>
      <c r="I15" s="9">
        <f>HYPERLINK("https://fa-evmr-saasfaprod1.fa.ocs.oraclecloud.com/hcmUI/CandidateExperience/en/sites/CX_1/job/29817","Open")</f>
        <v/>
      </c>
      <c r="J15" s="7" t="inlineStr">
        <is>
          <t>No</t>
        </is>
      </c>
      <c r="K15" s="7" t="inlineStr"/>
      <c r="L15" s="6" t="inlineStr"/>
      <c r="M15" s="6" t="inlineStr"/>
      <c r="N15" s="6" t="inlineStr"/>
      <c r="O15" s="6" t="inlineStr"/>
    </row>
    <row r="16">
      <c r="A16" s="2" t="inlineStr">
        <is>
          <t>Software Engineer Intern</t>
        </is>
      </c>
      <c r="B16" s="2" t="inlineStr">
        <is>
          <t>Forerunner</t>
        </is>
      </c>
      <c r="C16" s="3" t="inlineStr">
        <is>
          <t>2026-03-13</t>
        </is>
      </c>
      <c r="D16" s="3" t="n">
        <v>1</v>
      </c>
      <c r="E16" s="3" t="inlineStr">
        <is>
          <t>Remote</t>
        </is>
      </c>
      <c r="F16" s="4" t="n">
        <v>7</v>
      </c>
      <c r="G16" s="3" t="inlineStr">
        <is>
          <t>Simplify</t>
        </is>
      </c>
      <c r="H16" s="2" t="inlineStr">
        <is>
          <t>SF, Remote in USA, NYC, Portland, ME</t>
        </is>
      </c>
      <c r="I16" s="5">
        <f>HYPERLINK("https://job-boards.greenhouse.io/forerunner/jobs/5077162007","Open")</f>
        <v/>
      </c>
      <c r="J16" s="3" t="inlineStr">
        <is>
          <t>No</t>
        </is>
      </c>
      <c r="K16" s="3" t="inlineStr"/>
      <c r="L16" s="2" t="inlineStr"/>
      <c r="M16" s="2" t="inlineStr"/>
      <c r="N16" s="2" t="inlineStr"/>
      <c r="O16" s="2" t="inlineStr"/>
    </row>
    <row r="17">
      <c r="A17" s="6" t="inlineStr">
        <is>
          <t>Software Developer Intern</t>
        </is>
      </c>
      <c r="B17" s="6" t="inlineStr">
        <is>
          <t>Nokia</t>
        </is>
      </c>
      <c r="C17" s="7" t="inlineStr">
        <is>
          <t>2026-03-13</t>
        </is>
      </c>
      <c r="D17" s="7" t="n">
        <v>1</v>
      </c>
      <c r="E17" s="7" t="inlineStr">
        <is>
          <t>IL</t>
        </is>
      </c>
      <c r="F17" s="8" t="n">
        <v>5</v>
      </c>
      <c r="G17" s="7" t="inlineStr">
        <is>
          <t>Simplify</t>
        </is>
      </c>
      <c r="H17" s="6" t="inlineStr">
        <is>
          <t>Naperville, IL</t>
        </is>
      </c>
      <c r="I17" s="9">
        <f>HYPERLINK("https://fa-evmr-saasfaprod1.fa.ocs.oraclecloud.com/hcmUI/CandidateExperience/en/sites/CX_1/job/29846","Open")</f>
        <v/>
      </c>
      <c r="J17" s="7" t="inlineStr">
        <is>
          <t>No</t>
        </is>
      </c>
      <c r="K17" s="7" t="inlineStr"/>
      <c r="L17" s="6" t="inlineStr"/>
      <c r="M17" s="6" t="inlineStr"/>
      <c r="N17" s="6" t="inlineStr"/>
      <c r="O17" s="6" t="inlineStr"/>
    </row>
    <row r="18">
      <c r="A18" s="10" t="inlineStr">
        <is>
          <t>Software Developer Intern</t>
        </is>
      </c>
      <c r="B18" s="10" t="inlineStr">
        <is>
          <t>Nokia</t>
        </is>
      </c>
      <c r="C18" s="11" t="inlineStr">
        <is>
          <t>2026-03-13</t>
        </is>
      </c>
      <c r="D18" s="11" t="n">
        <v>1</v>
      </c>
      <c r="E18" s="11" t="inlineStr">
        <is>
          <t>IL</t>
        </is>
      </c>
      <c r="F18" s="18" t="n">
        <v>5</v>
      </c>
      <c r="G18" s="11" t="inlineStr">
        <is>
          <t>Simplify</t>
        </is>
      </c>
      <c r="H18" s="10" t="inlineStr">
        <is>
          <t>Naperville, IL</t>
        </is>
      </c>
      <c r="I18" s="13">
        <f>HYPERLINK("https://fa-evmr-saasfaprod1.fa.ocs.oraclecloud.com/hcmUI/CandidateExperience/en/sites/CX_1/job/29808","Open")</f>
        <v/>
      </c>
      <c r="J18" s="11" t="inlineStr">
        <is>
          <t>No</t>
        </is>
      </c>
      <c r="K18" s="11" t="inlineStr"/>
      <c r="L18" s="10" t="inlineStr"/>
      <c r="M18" s="10" t="inlineStr"/>
      <c r="N18" s="10" t="inlineStr"/>
      <c r="O18" s="10" t="inlineStr"/>
    </row>
    <row r="19">
      <c r="A19" s="6" t="inlineStr">
        <is>
          <t>Software Engineering Intern</t>
        </is>
      </c>
      <c r="B19" s="6" t="inlineStr">
        <is>
          <t>Aevex Aerospace</t>
        </is>
      </c>
      <c r="C19" s="7" t="inlineStr">
        <is>
          <t>2026-03-13</t>
        </is>
      </c>
      <c r="D19" s="7" t="n">
        <v>1</v>
      </c>
      <c r="E19" s="7" t="inlineStr">
        <is>
          <t>CA</t>
        </is>
      </c>
      <c r="F19" s="20" t="n">
        <v>15</v>
      </c>
      <c r="G19" s="7" t="inlineStr">
        <is>
          <t>Simplify</t>
        </is>
      </c>
      <c r="H19" s="6" t="inlineStr">
        <is>
          <t>Encinitas, CA</t>
        </is>
      </c>
      <c r="I19" s="9">
        <f>HYPERLINK("https://job-boards.greenhouse.io/aevexaerospace/jobs/5152866008","Open")</f>
        <v/>
      </c>
      <c r="J19" s="7" t="inlineStr">
        <is>
          <t>No</t>
        </is>
      </c>
      <c r="K19" s="7" t="inlineStr"/>
      <c r="L19" s="6" t="inlineStr"/>
      <c r="M19" s="6" t="inlineStr"/>
      <c r="N19" s="6" t="inlineStr"/>
      <c r="O19" s="6" t="inlineStr"/>
    </row>
    <row r="20">
      <c r="A20" s="2" t="inlineStr">
        <is>
          <t>Full Stack Software Engineer Intern</t>
        </is>
      </c>
      <c r="B20" s="2" t="inlineStr">
        <is>
          <t>EBSCO</t>
        </is>
      </c>
      <c r="C20" s="3" t="inlineStr">
        <is>
          <t>2026-03-13</t>
        </is>
      </c>
      <c r="D20" s="3" t="n">
        <v>1</v>
      </c>
      <c r="E20" s="3" t="inlineStr">
        <is>
          <t>Remote</t>
        </is>
      </c>
      <c r="F20" s="4" t="n">
        <v>9</v>
      </c>
      <c r="G20" s="3" t="inlineStr">
        <is>
          <t>Simplify</t>
        </is>
      </c>
      <c r="H20" s="2" t="inlineStr">
        <is>
          <t>Remote in USA</t>
        </is>
      </c>
      <c r="I20" s="5">
        <f>HYPERLINK("https://careers-ebscoind.icims.com/jobs/1970/job?mobile=true&amp;needsRedirect=false","Open")</f>
        <v/>
      </c>
      <c r="J20" s="3" t="inlineStr">
        <is>
          <t>No</t>
        </is>
      </c>
      <c r="K20" s="3" t="inlineStr"/>
      <c r="L20" s="2" t="inlineStr"/>
      <c r="M20" s="2" t="inlineStr"/>
      <c r="N20" s="2" t="inlineStr"/>
      <c r="O20" s="2" t="inlineStr"/>
    </row>
    <row r="21">
      <c r="A21" s="6" t="inlineStr">
        <is>
          <t>Product Quality Intern</t>
        </is>
      </c>
      <c r="B21" s="6" t="inlineStr">
        <is>
          <t>Locus Robotics</t>
        </is>
      </c>
      <c r="C21" s="7" t="inlineStr">
        <is>
          <t>2026-03-13</t>
        </is>
      </c>
      <c r="D21" s="7" t="n">
        <v>1</v>
      </c>
      <c r="E21" s="7" t="inlineStr">
        <is>
          <t>MA</t>
        </is>
      </c>
      <c r="F21" s="8" t="n">
        <v>4</v>
      </c>
      <c r="G21" s="7" t="inlineStr">
        <is>
          <t>Simplify</t>
        </is>
      </c>
      <c r="H21" s="6" t="inlineStr">
        <is>
          <t>Burlington, MA</t>
        </is>
      </c>
      <c r="I21" s="9">
        <f>HYPERLINK("https://job-boards.greenhouse.io/locusrobotics/jobs/5042544007","Open")</f>
        <v/>
      </c>
      <c r="J21" s="7" t="inlineStr">
        <is>
          <t>No</t>
        </is>
      </c>
      <c r="K21" s="7" t="inlineStr"/>
      <c r="L21" s="6" t="inlineStr"/>
      <c r="M21" s="6" t="inlineStr"/>
      <c r="N21" s="6" t="inlineStr"/>
      <c r="O21" s="6" t="inlineStr"/>
    </row>
    <row r="22">
      <c r="A22" s="10" t="inlineStr">
        <is>
          <t>EM University Programs AI and Machine Learning Intern</t>
        </is>
      </c>
      <c r="B22" s="10" t="inlineStr">
        <is>
          <t>Savannah River National Laboratory</t>
        </is>
      </c>
      <c r="C22" s="11" t="inlineStr">
        <is>
          <t>2026-03-13</t>
        </is>
      </c>
      <c r="D22" s="11" t="n">
        <v>1</v>
      </c>
      <c r="E22" s="11" t="inlineStr"/>
      <c r="F22" s="18" t="n">
        <v>5</v>
      </c>
      <c r="G22" s="11" t="inlineStr">
        <is>
          <t>Simplify</t>
        </is>
      </c>
      <c r="H22" s="10" t="inlineStr">
        <is>
          <t>North Augusta, SC</t>
        </is>
      </c>
      <c r="I22" s="13">
        <f>HYPERLINK("https://ewvl.fa.us8.oraclecloud.com/hcmUI/CandidateExperience/en/sites/CX_1/job/1998","Open")</f>
        <v/>
      </c>
      <c r="J22" s="11" t="inlineStr">
        <is>
          <t>No</t>
        </is>
      </c>
      <c r="K22" s="11" t="inlineStr"/>
      <c r="L22" s="10" t="inlineStr"/>
      <c r="M22" s="10" t="inlineStr"/>
      <c r="N22" s="10" t="inlineStr"/>
      <c r="O22" s="10" t="inlineStr"/>
    </row>
    <row r="23">
      <c r="A23" s="6" t="inlineStr">
        <is>
          <t>Software Engineer Intern - Streaming Media</t>
        </is>
      </c>
      <c r="B23" s="6" t="inlineStr">
        <is>
          <t>Roku</t>
        </is>
      </c>
      <c r="C23" s="7" t="inlineStr">
        <is>
          <t>2026-03-13</t>
        </is>
      </c>
      <c r="D23" s="7" t="n">
        <v>1</v>
      </c>
      <c r="E23" s="7" t="inlineStr">
        <is>
          <t>CA</t>
        </is>
      </c>
      <c r="F23" s="19" t="n">
        <v>7</v>
      </c>
      <c r="G23" s="7" t="inlineStr">
        <is>
          <t>Simplify</t>
        </is>
      </c>
      <c r="H23" s="6" t="inlineStr">
        <is>
          <t>San Jose, CA</t>
        </is>
      </c>
      <c r="I23" s="9">
        <f>HYPERLINK("https://www.weareroku.com/jobs/7599381?gh_jid=7599381","Open")</f>
        <v/>
      </c>
      <c r="J23" s="7" t="inlineStr">
        <is>
          <t>No</t>
        </is>
      </c>
      <c r="K23" s="7" t="inlineStr"/>
      <c r="L23" s="6" t="inlineStr"/>
      <c r="M23" s="6" t="inlineStr"/>
      <c r="N23" s="6" t="inlineStr"/>
      <c r="O23" s="6" t="inlineStr"/>
    </row>
    <row r="24">
      <c r="A24" s="10" t="inlineStr">
        <is>
          <t>Software Engineering Intern - DRC Team</t>
        </is>
      </c>
      <c r="B24" s="10" t="inlineStr">
        <is>
          <t>StockX</t>
        </is>
      </c>
      <c r="C24" s="11" t="inlineStr">
        <is>
          <t>2026-03-12</t>
        </is>
      </c>
      <c r="D24" s="11" t="n">
        <v>2</v>
      </c>
      <c r="E24" s="11" t="inlineStr">
        <is>
          <t>MI</t>
        </is>
      </c>
      <c r="F24" s="21" t="n">
        <v>11</v>
      </c>
      <c r="G24" s="11" t="inlineStr">
        <is>
          <t>Simplify</t>
        </is>
      </c>
      <c r="H24" s="10" t="inlineStr">
        <is>
          <t>Detroit, MI</t>
        </is>
      </c>
      <c r="I24" s="13">
        <f>HYPERLINK("https://job-boards.greenhouse.io/stockx/jobs/8456940002","Open")</f>
        <v/>
      </c>
      <c r="J24" s="11" t="inlineStr">
        <is>
          <t>No</t>
        </is>
      </c>
      <c r="K24" s="11" t="inlineStr"/>
      <c r="L24" s="10" t="inlineStr"/>
      <c r="M24" s="10" t="inlineStr"/>
      <c r="N24" s="10" t="inlineStr"/>
      <c r="O24" s="10" t="inlineStr"/>
    </row>
    <row r="25">
      <c r="A25" s="6" t="inlineStr">
        <is>
          <t>Android Software Engineer Co-op</t>
        </is>
      </c>
      <c r="B25" s="6" t="inlineStr">
        <is>
          <t>Notability</t>
        </is>
      </c>
      <c r="C25" s="7" t="inlineStr">
        <is>
          <t>2026-03-12</t>
        </is>
      </c>
      <c r="D25" s="7" t="n">
        <v>2</v>
      </c>
      <c r="E25" s="7" t="inlineStr"/>
      <c r="F25" s="19" t="n">
        <v>7</v>
      </c>
      <c r="G25" s="7" t="inlineStr">
        <is>
          <t>Simplify</t>
        </is>
      </c>
      <c r="H25" s="6" t="inlineStr">
        <is>
          <t>SF</t>
        </is>
      </c>
      <c r="I25" s="9">
        <f>HYPERLINK("https://job-boards.greenhouse.io/gingerlabsinc/jobs/5129674008","Open")</f>
        <v/>
      </c>
      <c r="J25" s="7" t="inlineStr">
        <is>
          <t>No</t>
        </is>
      </c>
      <c r="K25" s="7" t="inlineStr"/>
      <c r="L25" s="6" t="inlineStr"/>
      <c r="M25" s="6" t="inlineStr"/>
      <c r="N25" s="6" t="inlineStr"/>
      <c r="O25" s="6" t="inlineStr"/>
    </row>
    <row r="26">
      <c r="A26" s="10" t="inlineStr">
        <is>
          <t>National Security Solutions Computer Science Intern - NSS</t>
        </is>
      </c>
      <c r="B26" s="10" t="inlineStr">
        <is>
          <t>KBR</t>
        </is>
      </c>
      <c r="C26" s="11" t="inlineStr">
        <is>
          <t>2026-03-12</t>
        </is>
      </c>
      <c r="D26" s="11" t="n">
        <v>2</v>
      </c>
      <c r="E26" s="11" t="inlineStr">
        <is>
          <t>OH</t>
        </is>
      </c>
      <c r="F26" s="18" t="n">
        <v>6</v>
      </c>
      <c r="G26" s="11" t="inlineStr">
        <is>
          <t>Simplify</t>
        </is>
      </c>
      <c r="H26" s="10" t="inlineStr">
        <is>
          <t>Beavercreek, OH</t>
        </is>
      </c>
      <c r="I26" s="13">
        <f>HYPERLINK("https://kbr.wd5.myworkdayjobs.com/KBR_Careers/job/Beavercreek-Township-Ohio/National-Security-Solutions--NSS----Computer-Science-Intern_R2120307","Open")</f>
        <v/>
      </c>
      <c r="J26" s="11" t="inlineStr">
        <is>
          <t>No</t>
        </is>
      </c>
      <c r="K26" s="11" t="inlineStr"/>
      <c r="L26" s="10" t="inlineStr"/>
      <c r="M26" s="10" t="inlineStr"/>
      <c r="N26" s="10" t="inlineStr"/>
      <c r="O26" s="10" t="inlineStr"/>
    </row>
    <row r="27">
      <c r="A27" s="22" t="inlineStr">
        <is>
          <t>Forward Deployed Software Engineer Intern</t>
        </is>
      </c>
      <c r="B27" s="22" t="inlineStr">
        <is>
          <t>Palantir</t>
        </is>
      </c>
      <c r="C27" s="23" t="inlineStr">
        <is>
          <t>2026-03-12</t>
        </is>
      </c>
      <c r="D27" s="23" t="n">
        <v>2</v>
      </c>
      <c r="E27" s="23" t="inlineStr">
        <is>
          <t>NY</t>
        </is>
      </c>
      <c r="F27" s="24" t="n">
        <v>7</v>
      </c>
      <c r="G27" s="23" t="inlineStr">
        <is>
          <t>Simplify</t>
        </is>
      </c>
      <c r="H27" s="22" t="inlineStr">
        <is>
          <t>NYC</t>
        </is>
      </c>
      <c r="I27" s="25">
        <f>HYPERLINK("https://jobs.lever.co/palantir/030ece08-c341-4959-bdfe-314e89b691ce/apply","Open")</f>
        <v/>
      </c>
      <c r="J27" s="23" t="inlineStr">
        <is>
          <t>No</t>
        </is>
      </c>
      <c r="K27" s="23" t="inlineStr"/>
      <c r="L27" s="22" t="inlineStr"/>
      <c r="M27" s="22" t="inlineStr"/>
      <c r="N27" s="22" t="inlineStr"/>
      <c r="O27" s="22" t="inlineStr"/>
    </row>
    <row r="28">
      <c r="A28" s="10" t="inlineStr">
        <is>
          <t>Software Developer Intern</t>
        </is>
      </c>
      <c r="B28" s="10" t="inlineStr">
        <is>
          <t>Leidos</t>
        </is>
      </c>
      <c r="C28" s="11" t="inlineStr">
        <is>
          <t>2026-03-12</t>
        </is>
      </c>
      <c r="D28" s="11" t="n">
        <v>2</v>
      </c>
      <c r="E28" s="11" t="inlineStr"/>
      <c r="F28" s="18" t="n">
        <v>5</v>
      </c>
      <c r="G28" s="11" t="inlineStr">
        <is>
          <t>Simplify</t>
        </is>
      </c>
      <c r="H28" s="10" t="inlineStr">
        <is>
          <t>Lawton, OK</t>
        </is>
      </c>
      <c r="I28" s="13">
        <f>HYPERLINK("https://leidos.wd5.myworkdayjobs.com/External/job/Lawton-OK/Software-Developer-Intern_R-00177923","Open")</f>
        <v/>
      </c>
      <c r="J28" s="11" t="inlineStr">
        <is>
          <t>No</t>
        </is>
      </c>
      <c r="K28" s="11" t="inlineStr"/>
      <c r="L28" s="10" t="inlineStr"/>
      <c r="M28" s="10" t="inlineStr"/>
      <c r="N28" s="10" t="inlineStr"/>
      <c r="O28" s="10" t="inlineStr"/>
    </row>
    <row r="29">
      <c r="A29" s="6" t="inlineStr">
        <is>
          <t>Defense Science and Technology Intern Graduate Student</t>
        </is>
      </c>
      <c r="B29" s="6" t="inlineStr">
        <is>
          <t>Lawrence Livermore National Laboratory (LLNL)</t>
        </is>
      </c>
      <c r="C29" s="7" t="inlineStr">
        <is>
          <t>2026-03-12</t>
        </is>
      </c>
      <c r="D29" s="7" t="n">
        <v>2</v>
      </c>
      <c r="E29" s="7" t="inlineStr">
        <is>
          <t>CA</t>
        </is>
      </c>
      <c r="F29" s="8" t="n">
        <v>5</v>
      </c>
      <c r="G29" s="7" t="inlineStr">
        <is>
          <t>Simplify</t>
        </is>
      </c>
      <c r="H29" s="6" t="inlineStr">
        <is>
          <t>Livermore, CA</t>
        </is>
      </c>
      <c r="I29" s="9">
        <f>HYPERLINK("https://jobs.smartrecruiters.com/LLNL/3743990012117076","Open")</f>
        <v/>
      </c>
      <c r="J29" s="7" t="inlineStr">
        <is>
          <t>No</t>
        </is>
      </c>
      <c r="K29" s="7" t="inlineStr"/>
      <c r="L29" s="6" t="inlineStr"/>
      <c r="M29" s="6" t="inlineStr"/>
      <c r="N29" s="6" t="inlineStr"/>
      <c r="O29" s="6" t="inlineStr"/>
    </row>
    <row r="30">
      <c r="A30" s="10" t="inlineStr">
        <is>
          <t>Intern – Embedded Firmware Engineer - Battery Software</t>
        </is>
      </c>
      <c r="B30" s="10" t="inlineStr">
        <is>
          <t>Lucid Motors</t>
        </is>
      </c>
      <c r="C30" s="11" t="inlineStr">
        <is>
          <t>2026-03-12</t>
        </is>
      </c>
      <c r="D30" s="11" t="n">
        <v>2</v>
      </c>
      <c r="E30" s="11" t="inlineStr">
        <is>
          <t>CA</t>
        </is>
      </c>
      <c r="F30" s="21" t="n">
        <v>13</v>
      </c>
      <c r="G30" s="11" t="inlineStr">
        <is>
          <t>Simplify</t>
        </is>
      </c>
      <c r="H30" s="10" t="inlineStr">
        <is>
          <t>Newark, CA</t>
        </is>
      </c>
      <c r="I30" s="13">
        <f>HYPERLINK("https://job-boards.greenhouse.io/lucidmotors/jobs/4953706007","Open")</f>
        <v/>
      </c>
      <c r="J30" s="11" t="inlineStr">
        <is>
          <t>No</t>
        </is>
      </c>
      <c r="K30" s="11" t="inlineStr"/>
      <c r="L30" s="10" t="inlineStr"/>
      <c r="M30" s="10" t="inlineStr"/>
      <c r="N30" s="10" t="inlineStr"/>
      <c r="O30" s="10" t="inlineStr"/>
    </row>
    <row r="31">
      <c r="A31" s="6" t="inlineStr">
        <is>
          <t>Intern – R&amp;D Intern - Software Engineering</t>
        </is>
      </c>
      <c r="B31" s="6" t="inlineStr">
        <is>
          <t>Becton Dickinson</t>
        </is>
      </c>
      <c r="C31" s="7" t="inlineStr">
        <is>
          <t>2026-03-12</t>
        </is>
      </c>
      <c r="D31" s="7" t="n">
        <v>2</v>
      </c>
      <c r="E31" s="7" t="inlineStr">
        <is>
          <t>CA</t>
        </is>
      </c>
      <c r="F31" s="20" t="n">
        <v>11</v>
      </c>
      <c r="G31" s="7" t="inlineStr">
        <is>
          <t>Simplify</t>
        </is>
      </c>
      <c r="H31" s="6" t="inlineStr">
        <is>
          <t>San Diego, CA</t>
        </is>
      </c>
      <c r="I31" s="9">
        <f>HYPERLINK("https://bdx.wd1.myworkdayjobs.com/EXTERNAL_CAREER_SITE_USA/job/USA-CA---San-Diego-TC-Bldg-CD/Summer-Intern---R-D-Intern--Software-Engineering_R-540385","Open")</f>
        <v/>
      </c>
      <c r="J31" s="7" t="inlineStr">
        <is>
          <t>No</t>
        </is>
      </c>
      <c r="K31" s="7" t="inlineStr"/>
      <c r="L31" s="6" t="inlineStr"/>
      <c r="M31" s="6" t="inlineStr"/>
      <c r="N31" s="6" t="inlineStr"/>
      <c r="O31" s="6" t="inlineStr"/>
    </row>
    <row r="32">
      <c r="A32" s="10" t="inlineStr">
        <is>
          <t>Intern – Software Engineering</t>
        </is>
      </c>
      <c r="B32" s="10" t="inlineStr">
        <is>
          <t>Carbon Robotics</t>
        </is>
      </c>
      <c r="C32" s="11" t="inlineStr">
        <is>
          <t>2026-03-12</t>
        </is>
      </c>
      <c r="D32" s="11" t="n">
        <v>2</v>
      </c>
      <c r="E32" s="11" t="inlineStr">
        <is>
          <t>WA</t>
        </is>
      </c>
      <c r="F32" s="21" t="n">
        <v>15</v>
      </c>
      <c r="G32" s="11" t="inlineStr">
        <is>
          <t>Simplify</t>
        </is>
      </c>
      <c r="H32" s="10" t="inlineStr">
        <is>
          <t>Seattle, WA</t>
        </is>
      </c>
      <c r="I32" s="13">
        <f>HYPERLINK("https://carbonrobotics.com/job-openings?gh_jid=4625664006","Open")</f>
        <v/>
      </c>
      <c r="J32" s="11" t="inlineStr">
        <is>
          <t>No</t>
        </is>
      </c>
      <c r="K32" s="11" t="inlineStr"/>
      <c r="L32" s="10" t="inlineStr"/>
      <c r="M32" s="10" t="inlineStr"/>
      <c r="N32" s="10" t="inlineStr"/>
      <c r="O32" s="10" t="inlineStr"/>
    </row>
    <row r="33">
      <c r="A33" s="6" t="inlineStr">
        <is>
          <t>Intern Software Engineer - AI</t>
        </is>
      </c>
      <c r="B33" s="6" t="inlineStr">
        <is>
          <t>Planet</t>
        </is>
      </c>
      <c r="C33" s="7" t="inlineStr">
        <is>
          <t>2026-03-12</t>
        </is>
      </c>
      <c r="D33" s="7" t="n">
        <v>2</v>
      </c>
      <c r="E33" s="7" t="inlineStr"/>
      <c r="F33" s="19" t="n">
        <v>9</v>
      </c>
      <c r="G33" s="7" t="inlineStr">
        <is>
          <t>Simplify</t>
        </is>
      </c>
      <c r="H33" s="6" t="inlineStr">
        <is>
          <t>SF</t>
        </is>
      </c>
      <c r="I33" s="9">
        <f>HYPERLINK("https://job-boards.greenhouse.io/planetlabs/jobs/7660168","Open")</f>
        <v/>
      </c>
      <c r="J33" s="7" t="inlineStr">
        <is>
          <t>No</t>
        </is>
      </c>
      <c r="K33" s="7" t="inlineStr"/>
      <c r="L33" s="6" t="inlineStr"/>
      <c r="M33" s="6" t="inlineStr"/>
      <c r="N33" s="6" t="inlineStr"/>
      <c r="O33" s="6" t="inlineStr"/>
    </row>
    <row r="34">
      <c r="A34" s="10" t="inlineStr">
        <is>
          <t>Software Engineer Intern</t>
        </is>
      </c>
      <c r="B34" s="10" t="inlineStr">
        <is>
          <t>General Dynamics Mission Systems</t>
        </is>
      </c>
      <c r="C34" s="11" t="inlineStr">
        <is>
          <t>2026-03-12</t>
        </is>
      </c>
      <c r="D34" s="11" t="n">
        <v>2</v>
      </c>
      <c r="E34" s="11" t="inlineStr"/>
      <c r="F34" s="12" t="n">
        <v>7</v>
      </c>
      <c r="G34" s="11" t="inlineStr">
        <is>
          <t>Simplify</t>
        </is>
      </c>
      <c r="H34" s="10" t="inlineStr">
        <is>
          <t>United States</t>
        </is>
      </c>
      <c r="I34" s="13">
        <f>HYPERLINK("https://careers-gdms.icims.com/jobs/71480/job?mobile=true&amp;needsRedirect=false","Open")</f>
        <v/>
      </c>
      <c r="J34" s="11" t="inlineStr">
        <is>
          <t>No</t>
        </is>
      </c>
      <c r="K34" s="11" t="inlineStr"/>
      <c r="L34" s="10" t="inlineStr"/>
      <c r="M34" s="10" t="inlineStr"/>
      <c r="N34" s="10" t="inlineStr"/>
      <c r="O34" s="10" t="inlineStr"/>
    </row>
    <row r="35">
      <c r="A35" s="6" t="inlineStr">
        <is>
          <t>Year-Round Intern - Software Engineering Risk Analytics</t>
        </is>
      </c>
      <c r="B35" s="6" t="inlineStr">
        <is>
          <t>OCC</t>
        </is>
      </c>
      <c r="C35" s="7" t="inlineStr">
        <is>
          <t>2026-03-12</t>
        </is>
      </c>
      <c r="D35" s="7" t="n">
        <v>2</v>
      </c>
      <c r="E35" s="7" t="inlineStr">
        <is>
          <t>TX</t>
        </is>
      </c>
      <c r="F35" s="20" t="n">
        <v>11</v>
      </c>
      <c r="G35" s="7" t="inlineStr">
        <is>
          <t>AlmondCroffle</t>
        </is>
      </c>
      <c r="H35" s="6" t="inlineStr">
        <is>
          <t>Dallas, TX</t>
        </is>
      </c>
      <c r="I35" s="9">
        <f>HYPERLINK("https://theocc.wd5.myworkdayjobs.com/en-US/careers/job/Dallas-TX/Year-Round-Intern---Software-Engineering-Risk-Analytics_REQ-4592","Open")</f>
        <v/>
      </c>
      <c r="J35" s="7" t="inlineStr">
        <is>
          <t>No</t>
        </is>
      </c>
      <c r="K35" s="7" t="inlineStr"/>
      <c r="L35" s="6" t="inlineStr"/>
      <c r="M35" s="6" t="inlineStr"/>
      <c r="N35" s="6" t="inlineStr"/>
      <c r="O35" s="6" t="inlineStr"/>
    </row>
    <row r="36">
      <c r="A36" s="10" t="inlineStr">
        <is>
          <t>Software Engineering Intern (Cyber focus)</t>
        </is>
      </c>
      <c r="B36" s="10" t="inlineStr">
        <is>
          <t>Smiths Detection</t>
        </is>
      </c>
      <c r="C36" s="11" t="inlineStr">
        <is>
          <t>2026-03-12</t>
        </is>
      </c>
      <c r="D36" s="11" t="n">
        <v>2</v>
      </c>
      <c r="E36" s="11" t="inlineStr">
        <is>
          <t>MD</t>
        </is>
      </c>
      <c r="F36" s="21" t="n">
        <v>11</v>
      </c>
      <c r="G36" s="11" t="inlineStr">
        <is>
          <t>AlmondCroffle</t>
        </is>
      </c>
      <c r="H36" s="10" t="inlineStr">
        <is>
          <t>Edgewood, MD</t>
        </is>
      </c>
      <c r="I36" s="13">
        <f>HYPERLINK("https://jobs.smartrecruiters.com/SmithsGroup2/a22945f0-59b6-4c3f-87f1-43c05b535677","Open")</f>
        <v/>
      </c>
      <c r="J36" s="11" t="inlineStr">
        <is>
          <t>No</t>
        </is>
      </c>
      <c r="K36" s="11" t="inlineStr"/>
      <c r="L36" s="10" t="inlineStr"/>
      <c r="M36" s="10" t="inlineStr"/>
      <c r="N36" s="10" t="inlineStr"/>
      <c r="O36" s="10" t="inlineStr"/>
    </row>
    <row r="37">
      <c r="A37" s="6" t="inlineStr">
        <is>
          <t>Software Engineering Intern - Virtual Primary Care</t>
        </is>
      </c>
      <c r="B37" s="6" t="inlineStr">
        <is>
          <t>Transcarent</t>
        </is>
      </c>
      <c r="C37" s="7" t="inlineStr">
        <is>
          <t>2026-03-12</t>
        </is>
      </c>
      <c r="D37" s="7" t="n">
        <v>2</v>
      </c>
      <c r="E37" s="7" t="inlineStr"/>
      <c r="F37" s="20" t="n">
        <v>11</v>
      </c>
      <c r="G37" s="7" t="inlineStr">
        <is>
          <t>AlmondCroffle</t>
        </is>
      </c>
      <c r="H37" s="6" t="inlineStr">
        <is>
          <t>Seattle, W</t>
        </is>
      </c>
      <c r="I37" s="9">
        <f>HYPERLINK("https://job-boards.greenhouse.io/transcarent/jobs/5822302004?gh_jid=5822302004","Open")</f>
        <v/>
      </c>
      <c r="J37" s="7" t="inlineStr">
        <is>
          <t>No</t>
        </is>
      </c>
      <c r="K37" s="7" t="inlineStr"/>
      <c r="L37" s="6" t="inlineStr"/>
      <c r="M37" s="6" t="inlineStr"/>
      <c r="N37" s="6" t="inlineStr"/>
      <c r="O37" s="6" t="inlineStr"/>
    </row>
    <row r="38">
      <c r="A38" s="10" t="inlineStr">
        <is>
          <t>Software Engineering, Agentic AI &amp; Test Automation Internship</t>
        </is>
      </c>
      <c r="B38" s="10" t="inlineStr">
        <is>
          <t>T-Mobile</t>
        </is>
      </c>
      <c r="C38" s="11" t="inlineStr">
        <is>
          <t>2026-03-12</t>
        </is>
      </c>
      <c r="D38" s="11" t="n">
        <v>2</v>
      </c>
      <c r="E38" s="11" t="inlineStr">
        <is>
          <t>WA</t>
        </is>
      </c>
      <c r="F38" s="21" t="n">
        <v>13</v>
      </c>
      <c r="G38" s="11" t="inlineStr">
        <is>
          <t>AlmondCroffle</t>
        </is>
      </c>
      <c r="H38" s="10" t="inlineStr">
        <is>
          <t>Bellevue, WA</t>
        </is>
      </c>
      <c r="I38" s="13">
        <f>HYPERLINK("https://tmobile.wd1.myworkdayjobs.com/en-US/external/job/Bellevue-Washington/Summer-2026-Software-Engineering---Agentic-AI---Test-Automation-Internship_REQ347437","Open")</f>
        <v/>
      </c>
      <c r="J38" s="11" t="inlineStr">
        <is>
          <t>No</t>
        </is>
      </c>
      <c r="K38" s="11" t="inlineStr"/>
      <c r="L38" s="10" t="inlineStr"/>
      <c r="M38" s="10" t="inlineStr"/>
      <c r="N38" s="10" t="inlineStr"/>
      <c r="O38" s="10" t="inlineStr"/>
    </row>
    <row r="39">
      <c r="A39" s="22" t="inlineStr">
        <is>
          <t>Software Engineer Intern</t>
        </is>
      </c>
      <c r="B39" s="22" t="inlineStr">
        <is>
          <t>Specialisterne</t>
        </is>
      </c>
      <c r="C39" s="23" t="inlineStr">
        <is>
          <t>2026-03-12</t>
        </is>
      </c>
      <c r="D39" s="23" t="n">
        <v>2</v>
      </c>
      <c r="E39" s="23" t="inlineStr">
        <is>
          <t>NY</t>
        </is>
      </c>
      <c r="F39" s="24" t="n">
        <v>7</v>
      </c>
      <c r="G39" s="23" t="inlineStr">
        <is>
          <t>AlmondCroffle</t>
        </is>
      </c>
      <c r="H39" s="22" t="inlineStr">
        <is>
          <t>New York, NY</t>
        </is>
      </c>
      <c r="I39" s="25">
        <f>HYPERLINK("https://specialisterne.applytojob.com/apply/Vt3hev3H0E/Software-Engineer-Intern","Open")</f>
        <v/>
      </c>
      <c r="J39" s="23" t="inlineStr">
        <is>
          <t>No</t>
        </is>
      </c>
      <c r="K39" s="23" t="inlineStr"/>
      <c r="L39" s="22" t="inlineStr"/>
      <c r="M39" s="22" t="inlineStr"/>
      <c r="N39" s="22" t="inlineStr"/>
      <c r="O39" s="22" t="inlineStr"/>
    </row>
    <row r="40">
      <c r="A40" s="10" t="inlineStr">
        <is>
          <t>Software Engineer Intern</t>
        </is>
      </c>
      <c r="B40" s="10" t="inlineStr">
        <is>
          <t>FanThreeSixty</t>
        </is>
      </c>
      <c r="C40" s="11" t="inlineStr">
        <is>
          <t>2026-03-12</t>
        </is>
      </c>
      <c r="D40" s="11" t="n">
        <v>2</v>
      </c>
      <c r="E40" s="11" t="inlineStr"/>
      <c r="F40" s="12" t="n">
        <v>7</v>
      </c>
      <c r="G40" s="11" t="inlineStr">
        <is>
          <t>AlmondCroffle</t>
        </is>
      </c>
      <c r="H40" s="10" t="inlineStr">
        <is>
          <t>Leawood, KS</t>
        </is>
      </c>
      <c r="I40" s="13">
        <f>HYPERLINK("https://osv-tifec.wd5.myworkdayjobs.com/en-US/fanthreesixty/job/FanThreeSixty-Leawood-KS-66211/Software-Engineer-Intern_REQ-5122","Open")</f>
        <v/>
      </c>
      <c r="J40" s="11" t="inlineStr">
        <is>
          <t>No</t>
        </is>
      </c>
      <c r="K40" s="11" t="inlineStr"/>
      <c r="L40" s="10" t="inlineStr"/>
      <c r="M40" s="10" t="inlineStr"/>
      <c r="N40" s="10" t="inlineStr"/>
      <c r="O40" s="10" t="inlineStr"/>
    </row>
    <row r="41">
      <c r="A41" s="22" t="inlineStr">
        <is>
          <t>Methane Infrastructure Data Intern</t>
        </is>
      </c>
      <c r="B41" s="22" t="inlineStr">
        <is>
          <t>Environmental Defense Fund</t>
        </is>
      </c>
      <c r="C41" s="23" t="inlineStr">
        <is>
          <t>2026-03-12</t>
        </is>
      </c>
      <c r="D41" s="23" t="n">
        <v>2</v>
      </c>
      <c r="E41" s="23" t="inlineStr">
        <is>
          <t>NY</t>
        </is>
      </c>
      <c r="F41" s="26" t="n">
        <v>5</v>
      </c>
      <c r="G41" s="23" t="inlineStr">
        <is>
          <t>Simplify</t>
        </is>
      </c>
      <c r="H41" s="22" t="inlineStr">
        <is>
          <t>Boston, MA, Washington, DC, SF, Austin, TX, Raleigh, NC, NYC, Boulder, CO</t>
        </is>
      </c>
      <c r="I41" s="25">
        <f>HYPERLINK("https://osv-edf.wd5.myworkdayjobs.com/Confidential/job/Raleigh/XMLNAME---Methane-Infrastructure-Data-Intern_REQ-002296","Open")</f>
        <v/>
      </c>
      <c r="J41" s="23" t="inlineStr">
        <is>
          <t>No</t>
        </is>
      </c>
      <c r="K41" s="23" t="inlineStr"/>
      <c r="L41" s="22" t="inlineStr"/>
      <c r="M41" s="22" t="inlineStr"/>
      <c r="N41" s="22" t="inlineStr"/>
      <c r="O41" s="22" t="inlineStr"/>
    </row>
    <row r="42">
      <c r="A42" s="22" t="inlineStr">
        <is>
          <t>Agricultural Resilience Intern</t>
        </is>
      </c>
      <c r="B42" s="22" t="inlineStr">
        <is>
          <t>Environmental Defense Fund</t>
        </is>
      </c>
      <c r="C42" s="23" t="inlineStr">
        <is>
          <t>2026-03-12</t>
        </is>
      </c>
      <c r="D42" s="23" t="n">
        <v>2</v>
      </c>
      <c r="E42" s="23" t="inlineStr">
        <is>
          <t>NY</t>
        </is>
      </c>
      <c r="F42" s="26" t="n">
        <v>5</v>
      </c>
      <c r="G42" s="23" t="inlineStr">
        <is>
          <t>Simplify</t>
        </is>
      </c>
      <c r="H42" s="22" t="inlineStr">
        <is>
          <t>Raleigh, NC, NYC</t>
        </is>
      </c>
      <c r="I42" s="25">
        <f>HYPERLINK("https://osv-edf.wd5.myworkdayjobs.com/Confidential/job/Remote---US-Home/Agricultural-Resilience-Intern_REQ-002266","Open")</f>
        <v/>
      </c>
      <c r="J42" s="23" t="inlineStr">
        <is>
          <t>No</t>
        </is>
      </c>
      <c r="K42" s="23" t="inlineStr"/>
      <c r="L42" s="22" t="inlineStr"/>
      <c r="M42" s="22" t="inlineStr"/>
      <c r="N42" s="22" t="inlineStr"/>
      <c r="O42" s="22" t="inlineStr"/>
    </row>
    <row r="43">
      <c r="A43" s="22" t="inlineStr">
        <is>
          <t>Community Air Monitoring Intern</t>
        </is>
      </c>
      <c r="B43" s="22" t="inlineStr">
        <is>
          <t>Environmental Defense Fund</t>
        </is>
      </c>
      <c r="C43" s="23" t="inlineStr">
        <is>
          <t>2026-03-12</t>
        </is>
      </c>
      <c r="D43" s="23" t="n">
        <v>2</v>
      </c>
      <c r="E43" s="23" t="inlineStr">
        <is>
          <t>NY</t>
        </is>
      </c>
      <c r="F43" s="24" t="n">
        <v>7</v>
      </c>
      <c r="G43" s="23" t="inlineStr">
        <is>
          <t>Simplify</t>
        </is>
      </c>
      <c r="H43" s="22" t="inlineStr">
        <is>
          <t>Boston, MA, Houston, TX, Washington, DC, SF, Austin, TX, Raleigh, NC, NYC, Boulder, CO</t>
        </is>
      </c>
      <c r="I43" s="25">
        <f>HYPERLINK("https://osv-edf.wd5.myworkdayjobs.com/Confidential/job/San-Francisco/XMLNAME---Community-Air-Monitoring-Intern-_REQ-002321","Open")</f>
        <v/>
      </c>
      <c r="J43" s="23" t="inlineStr">
        <is>
          <t>No</t>
        </is>
      </c>
      <c r="K43" s="23" t="inlineStr"/>
      <c r="L43" s="22" t="inlineStr"/>
      <c r="M43" s="22" t="inlineStr"/>
      <c r="N43" s="22" t="inlineStr"/>
      <c r="O43" s="22" t="inlineStr"/>
    </row>
    <row r="44">
      <c r="A44" s="2" t="inlineStr">
        <is>
          <t>Net Zero Data Analysis Intern</t>
        </is>
      </c>
      <c r="B44" s="2" t="inlineStr">
        <is>
          <t>Environmental Defense Fund</t>
        </is>
      </c>
      <c r="C44" s="3" t="inlineStr">
        <is>
          <t>2026-03-12</t>
        </is>
      </c>
      <c r="D44" s="3" t="n">
        <v>2</v>
      </c>
      <c r="E44" s="3" t="inlineStr">
        <is>
          <t>Remote</t>
        </is>
      </c>
      <c r="F44" s="27" t="n">
        <v>5</v>
      </c>
      <c r="G44" s="3" t="inlineStr">
        <is>
          <t>Simplify</t>
        </is>
      </c>
      <c r="H44" s="2" t="inlineStr">
        <is>
          <t>Boston, MA, Washington, DC, SF, Austin, TX, Remote in USA, Raleigh, NC, NYC, Boulder, CO</t>
        </is>
      </c>
      <c r="I44" s="5">
        <f>HYPERLINK("https://osv-edf.wd5.myworkdayjobs.com/Confidential/job/New-York/Net-Zero-Data-Analysis-Intern_REQ-002331","Open")</f>
        <v/>
      </c>
      <c r="J44" s="3" t="inlineStr">
        <is>
          <t>No</t>
        </is>
      </c>
      <c r="K44" s="3" t="inlineStr"/>
      <c r="L44" s="2" t="inlineStr"/>
      <c r="M44" s="2" t="inlineStr"/>
      <c r="N44" s="2" t="inlineStr"/>
      <c r="O44" s="2" t="inlineStr"/>
    </row>
    <row r="45">
      <c r="A45" s="6" t="inlineStr">
        <is>
          <t>Co-op Software Developer</t>
        </is>
      </c>
      <c r="B45" s="6" t="inlineStr">
        <is>
          <t>Thales</t>
        </is>
      </c>
      <c r="C45" s="7" t="inlineStr">
        <is>
          <t>2026-03-12</t>
        </is>
      </c>
      <c r="D45" s="7" t="n">
        <v>3</v>
      </c>
      <c r="E45" s="7" t="inlineStr">
        <is>
          <t>CA</t>
        </is>
      </c>
      <c r="F45" s="8" t="n">
        <v>5</v>
      </c>
      <c r="G45" s="7" t="inlineStr">
        <is>
          <t>Simplify</t>
        </is>
      </c>
      <c r="H45" s="6" t="inlineStr">
        <is>
          <t>Ottawa, ON, Canada</t>
        </is>
      </c>
      <c r="I45" s="9">
        <f>HYPERLINK("https://thales.wd3.myworkdayjobs.com/en-US/Careers/job/Ottawa/COOP-Software-Developer--Summer-Fall-2026--8-months-term-_R0318614","Open")</f>
        <v/>
      </c>
      <c r="J45" s="7" t="inlineStr">
        <is>
          <t>No</t>
        </is>
      </c>
      <c r="K45" s="7" t="inlineStr"/>
      <c r="L45" s="6" t="inlineStr"/>
      <c r="M45" s="6" t="inlineStr"/>
      <c r="N45" s="6" t="inlineStr"/>
      <c r="O45" s="6" t="inlineStr"/>
    </row>
    <row r="46">
      <c r="A46" s="10" t="inlineStr">
        <is>
          <t>Intern – Software Engineer Intern</t>
        </is>
      </c>
      <c r="B46" s="10" t="inlineStr">
        <is>
          <t>RTX</t>
        </is>
      </c>
      <c r="C46" s="11" t="inlineStr">
        <is>
          <t>2026-03-12</t>
        </is>
      </c>
      <c r="D46" s="11" t="n">
        <v>3</v>
      </c>
      <c r="E46" s="11" t="inlineStr"/>
      <c r="F46" s="12" t="n">
        <v>7</v>
      </c>
      <c r="G46" s="11" t="inlineStr">
        <is>
          <t>Simplify</t>
        </is>
      </c>
      <c r="H46" s="10" t="inlineStr">
        <is>
          <t>Indianapolis, IN</t>
        </is>
      </c>
      <c r="I46" s="13">
        <f>HYPERLINK("https://globalhr.wd5.myworkdayjobs.com/rec_rtx_ext_gateway/job/US-IN-INDIANAPOLIS-206--3939-Priority-Way-S-Dr--PRIORITY-BLDG-6/XMLNAME-2026-Intern---Software-Engineer-Intern---Onsite--IN-_01829309","Open")</f>
        <v/>
      </c>
      <c r="J46" s="11" t="inlineStr">
        <is>
          <t>No</t>
        </is>
      </c>
      <c r="K46" s="11" t="inlineStr"/>
      <c r="L46" s="10" t="inlineStr"/>
      <c r="M46" s="10" t="inlineStr"/>
      <c r="N46" s="10" t="inlineStr"/>
      <c r="O46" s="10" t="inlineStr"/>
    </row>
    <row r="47">
      <c r="A47" s="6" t="inlineStr">
        <is>
          <t>Intern - Software Engineer</t>
        </is>
      </c>
      <c r="B47" s="6" t="inlineStr">
        <is>
          <t>Nordson</t>
        </is>
      </c>
      <c r="C47" s="7" t="inlineStr">
        <is>
          <t>2026-03-12</t>
        </is>
      </c>
      <c r="D47" s="7" t="n">
        <v>3</v>
      </c>
      <c r="E47" s="7" t="inlineStr"/>
      <c r="F47" s="19" t="n">
        <v>7</v>
      </c>
      <c r="G47" s="7" t="inlineStr">
        <is>
          <t>Simplify</t>
        </is>
      </c>
      <c r="H47" s="6" t="inlineStr">
        <is>
          <t>Providence, RI</t>
        </is>
      </c>
      <c r="I47" s="9">
        <f>HYPERLINK("https://nordsonhcm.wd501.myworkdayjobs.com/nordsoncareers/job/USA---Rhode-Island---East-Providence/Summer-Intern---Software-Engineer_REQ50054","Open")</f>
        <v/>
      </c>
      <c r="J47" s="7" t="inlineStr">
        <is>
          <t>No</t>
        </is>
      </c>
      <c r="K47" s="7" t="inlineStr"/>
      <c r="L47" s="6" t="inlineStr"/>
      <c r="M47" s="6" t="inlineStr"/>
      <c r="N47" s="6" t="inlineStr"/>
      <c r="O47" s="6" t="inlineStr"/>
    </row>
    <row r="48">
      <c r="A48" s="22" t="inlineStr">
        <is>
          <t>Machine Learning/AI Scientist Intern</t>
        </is>
      </c>
      <c r="B48" s="22" t="inlineStr">
        <is>
          <t>Netflix</t>
        </is>
      </c>
      <c r="C48" s="23" t="inlineStr">
        <is>
          <t>2026-03-12</t>
        </is>
      </c>
      <c r="D48" s="23" t="n">
        <v>3</v>
      </c>
      <c r="E48" s="23" t="inlineStr">
        <is>
          <t>NY</t>
        </is>
      </c>
      <c r="F48" s="26" t="n">
        <v>5</v>
      </c>
      <c r="G48" s="23" t="inlineStr">
        <is>
          <t>Simplify</t>
        </is>
      </c>
      <c r="H48" s="22" t="inlineStr">
        <is>
          <t>LA, Los Gatos, CA, NYC</t>
        </is>
      </c>
      <c r="I48" s="25">
        <f>HYPERLINK("https://netflix.wd1.myworkdayjobs.com/Netflix/job/Los-Gatos/Machine-Learning-AI-Scientist-Intern--PhD---2026_JR36511","Open")</f>
        <v/>
      </c>
      <c r="J48" s="23" t="inlineStr">
        <is>
          <t>No</t>
        </is>
      </c>
      <c r="K48" s="23" t="inlineStr"/>
      <c r="L48" s="22" t="inlineStr"/>
      <c r="M48" s="22" t="inlineStr"/>
      <c r="N48" s="22" t="inlineStr"/>
      <c r="O48" s="22" t="inlineStr"/>
    </row>
    <row r="49">
      <c r="A49" s="6" t="inlineStr">
        <is>
          <t>Software Engineer PhD Intern - Streaming Algorithms</t>
        </is>
      </c>
      <c r="B49" s="6" t="inlineStr">
        <is>
          <t>Netflix</t>
        </is>
      </c>
      <c r="C49" s="7" t="inlineStr">
        <is>
          <t>2026-03-12</t>
        </is>
      </c>
      <c r="D49" s="7" t="n">
        <v>3</v>
      </c>
      <c r="E49" s="7" t="inlineStr">
        <is>
          <t>CA</t>
        </is>
      </c>
      <c r="F49" s="19" t="n">
        <v>7</v>
      </c>
      <c r="G49" s="7" t="inlineStr">
        <is>
          <t>Simplify</t>
        </is>
      </c>
      <c r="H49" s="6" t="inlineStr">
        <is>
          <t>Los Gatos, CA</t>
        </is>
      </c>
      <c r="I49" s="9">
        <f>HYPERLINK("https://netflix.wd1.myworkdayjobs.com/Netflix/job/Los-Gatos/Software-Engineer-PhD-Intern--Streaming-Algorithms--Summer-2026-_JR37687","Open")</f>
        <v/>
      </c>
      <c r="J49" s="7" t="inlineStr">
        <is>
          <t>No</t>
        </is>
      </c>
      <c r="K49" s="7" t="inlineStr"/>
      <c r="L49" s="6" t="inlineStr"/>
      <c r="M49" s="6" t="inlineStr"/>
      <c r="N49" s="6" t="inlineStr"/>
      <c r="O49" s="6" t="inlineStr"/>
    </row>
    <row r="50">
      <c r="A50" s="28" t="inlineStr">
        <is>
          <t>Intern Software Engineer</t>
        </is>
      </c>
      <c r="B50" s="28" t="inlineStr">
        <is>
          <t>Northrop Grumman</t>
        </is>
      </c>
      <c r="C50" s="29" t="inlineStr">
        <is>
          <t>2026-03-12</t>
        </is>
      </c>
      <c r="D50" s="29" t="n">
        <v>3</v>
      </c>
      <c r="E50" s="29" t="inlineStr">
        <is>
          <t>PA</t>
        </is>
      </c>
      <c r="F50" s="30" t="n">
        <v>7</v>
      </c>
      <c r="G50" s="29" t="inlineStr">
        <is>
          <t>Simplify</t>
        </is>
      </c>
      <c r="H50" s="28" t="inlineStr">
        <is>
          <t>Palmdale, CA, Oklahoma City, OK, Grand Forks, ND, San Diego, CA, El Segundo, CA</t>
        </is>
      </c>
      <c r="I50" s="31">
        <f>HYPERLINK("https://ngc.wd1.myworkdayjobs.com/northrop_grumman_restricted_site/job/United-States-California-San-Diego/XMLNAME-2026-Intern-Software-Engineer_R10217175-2","Open")</f>
        <v/>
      </c>
      <c r="J50" s="29" t="inlineStr">
        <is>
          <t>No</t>
        </is>
      </c>
      <c r="K50" s="29" t="inlineStr"/>
      <c r="L50" s="28" t="inlineStr"/>
      <c r="M50" s="28" t="inlineStr"/>
      <c r="N50" s="28" t="inlineStr"/>
      <c r="O50" s="28" t="inlineStr"/>
    </row>
    <row r="51">
      <c r="A51" s="6" t="inlineStr">
        <is>
          <t>Intern - Software Engineering - Firmware</t>
        </is>
      </c>
      <c r="B51" s="6" t="inlineStr">
        <is>
          <t>Western Digital</t>
        </is>
      </c>
      <c r="C51" s="7" t="inlineStr">
        <is>
          <t>2026-03-11</t>
        </is>
      </c>
      <c r="D51" s="7" t="n">
        <v>3</v>
      </c>
      <c r="E51" s="7" t="inlineStr">
        <is>
          <t>CA</t>
        </is>
      </c>
      <c r="F51" s="20" t="n">
        <v>16</v>
      </c>
      <c r="G51" s="7" t="inlineStr">
        <is>
          <t>Simplify</t>
        </is>
      </c>
      <c r="H51" s="6" t="inlineStr">
        <is>
          <t>San Jose, CA</t>
        </is>
      </c>
      <c r="I51" s="9">
        <f>HYPERLINK("https://jobs.smartrecruiters.com/WesternDigital/744000114157092","Open")</f>
        <v/>
      </c>
      <c r="J51" s="7" t="inlineStr">
        <is>
          <t>No</t>
        </is>
      </c>
      <c r="K51" s="7" t="inlineStr"/>
      <c r="L51" s="6" t="inlineStr"/>
      <c r="M51" s="6" t="inlineStr"/>
      <c r="N51" s="6" t="inlineStr"/>
      <c r="O51" s="6" t="inlineStr"/>
    </row>
    <row r="52">
      <c r="A52" s="10" t="inlineStr">
        <is>
          <t>Software Engineer Intern - Cloud Services - HP IQ</t>
        </is>
      </c>
      <c r="B52" s="10" t="inlineStr">
        <is>
          <t>Hewlett Packard (HP)</t>
        </is>
      </c>
      <c r="C52" s="11" t="inlineStr">
        <is>
          <t>2026-03-11</t>
        </is>
      </c>
      <c r="D52" s="11" t="n">
        <v>3</v>
      </c>
      <c r="E52" s="11" t="inlineStr"/>
      <c r="F52" s="12" t="n">
        <v>7</v>
      </c>
      <c r="G52" s="11" t="inlineStr">
        <is>
          <t>Simplify</t>
        </is>
      </c>
      <c r="H52" s="10" t="inlineStr">
        <is>
          <t>SF</t>
        </is>
      </c>
      <c r="I52" s="13">
        <f>HYPERLINK("https://hp.wd5.myworkdayjobs.com/EXTEU-AC-CareerSite/job/San-Francisco-California-United-States-of-America/Software-Engineer-Intern--Cloud-Services---HP-IQ_3160773","Open")</f>
        <v/>
      </c>
      <c r="J52" s="11" t="inlineStr">
        <is>
          <t>No</t>
        </is>
      </c>
      <c r="K52" s="11" t="inlineStr"/>
      <c r="L52" s="10" t="inlineStr"/>
      <c r="M52" s="10" t="inlineStr"/>
      <c r="N52" s="10" t="inlineStr"/>
      <c r="O52" s="10" t="inlineStr"/>
    </row>
    <row r="53">
      <c r="A53" s="6" t="inlineStr">
        <is>
          <t>Browser Software Engineer Intern</t>
        </is>
      </c>
      <c r="B53" s="6" t="inlineStr">
        <is>
          <t>Hewlett Packard (HP)</t>
        </is>
      </c>
      <c r="C53" s="7" t="inlineStr">
        <is>
          <t>2026-03-11</t>
        </is>
      </c>
      <c r="D53" s="7" t="n">
        <v>3</v>
      </c>
      <c r="E53" s="7" t="inlineStr">
        <is>
          <t>CA</t>
        </is>
      </c>
      <c r="F53" s="19" t="n">
        <v>7</v>
      </c>
      <c r="G53" s="7" t="inlineStr">
        <is>
          <t>Simplify</t>
        </is>
      </c>
      <c r="H53" s="6" t="inlineStr">
        <is>
          <t>Cambridge, UK</t>
        </is>
      </c>
      <c r="I53" s="9">
        <f>HYPERLINK("https://hp.wd5.myworkdayjobs.com/EXTEU-AC-CareerSite/job/Cambridge-Cambridgeshire-United-Kingdom/Browser-Software-Engineer-Intern_3160410","Open")</f>
        <v/>
      </c>
      <c r="J53" s="7" t="inlineStr">
        <is>
          <t>No</t>
        </is>
      </c>
      <c r="K53" s="7" t="inlineStr"/>
      <c r="L53" s="6" t="inlineStr"/>
      <c r="M53" s="6" t="inlineStr"/>
      <c r="N53" s="6" t="inlineStr"/>
      <c r="O53" s="6" t="inlineStr"/>
    </row>
    <row r="54">
      <c r="A54" s="10" t="inlineStr">
        <is>
          <t>Intern - Software Engineer</t>
        </is>
      </c>
      <c r="B54" s="10" t="inlineStr">
        <is>
          <t>Applied Materials</t>
        </is>
      </c>
      <c r="C54" s="11" t="inlineStr">
        <is>
          <t>2026-03-11</t>
        </is>
      </c>
      <c r="D54" s="11" t="n">
        <v>3</v>
      </c>
      <c r="E54" s="11" t="inlineStr">
        <is>
          <t>CA</t>
        </is>
      </c>
      <c r="F54" s="12" t="n">
        <v>7</v>
      </c>
      <c r="G54" s="11" t="inlineStr">
        <is>
          <t>Simplify</t>
        </is>
      </c>
      <c r="H54" s="10" t="inlineStr">
        <is>
          <t>Santa Clara, CA</t>
        </is>
      </c>
      <c r="I54" s="13">
        <f>HYPERLINK("https://amat.wd1.myworkdayjobs.com/External/job/Santa-ClaraCA/XMLNAME-2026-Summer-Intern---Software-Engineer--Bachelors---Santa-Clara--CA-_R2612967","Open")</f>
        <v/>
      </c>
      <c r="J54" s="11" t="inlineStr">
        <is>
          <t>No</t>
        </is>
      </c>
      <c r="K54" s="11" t="inlineStr"/>
      <c r="L54" s="10" t="inlineStr"/>
      <c r="M54" s="10" t="inlineStr"/>
      <c r="N54" s="10" t="inlineStr"/>
      <c r="O54" s="10" t="inlineStr"/>
    </row>
    <row r="55">
      <c r="A55" s="6" t="inlineStr">
        <is>
          <t>Software Developer Intern</t>
        </is>
      </c>
      <c r="B55" s="6" t="inlineStr">
        <is>
          <t>McKesson</t>
        </is>
      </c>
      <c r="C55" s="7" t="inlineStr">
        <is>
          <t>2026-03-11</t>
        </is>
      </c>
      <c r="D55" s="7" t="n">
        <v>3</v>
      </c>
      <c r="E55" s="7" t="inlineStr">
        <is>
          <t>CA</t>
        </is>
      </c>
      <c r="F55" s="8" t="n">
        <v>5</v>
      </c>
      <c r="G55" s="7" t="inlineStr">
        <is>
          <t>Simplify</t>
        </is>
      </c>
      <c r="H55" s="6" t="inlineStr">
        <is>
          <t>Montréal, QC, Canada</t>
        </is>
      </c>
      <c r="I55" s="9">
        <f>HYPERLINK("https://mckesson.wd3.myworkdayjobs.com/External_Careers/job/CAN-QC-Montreal-Ville-Saint-Laurent/Stagiaire-en-dveloppement-logiciel---t-2026---Software-Developer-Intern---Summer-2026_JR0143774-1","Open")</f>
        <v/>
      </c>
      <c r="J55" s="7" t="inlineStr">
        <is>
          <t>No</t>
        </is>
      </c>
      <c r="K55" s="7" t="inlineStr"/>
      <c r="L55" s="6" t="inlineStr"/>
      <c r="M55" s="6" t="inlineStr"/>
      <c r="N55" s="6" t="inlineStr"/>
      <c r="O55" s="6" t="inlineStr"/>
    </row>
    <row r="56">
      <c r="A56" s="10" t="inlineStr">
        <is>
          <t>Software Engineer Intern</t>
        </is>
      </c>
      <c r="B56" s="10" t="inlineStr">
        <is>
          <t>Zip</t>
        </is>
      </c>
      <c r="C56" s="11" t="inlineStr">
        <is>
          <t>2026-03-11</t>
        </is>
      </c>
      <c r="D56" s="11" t="n">
        <v>3</v>
      </c>
      <c r="E56" s="11" t="inlineStr"/>
      <c r="F56" s="12" t="n">
        <v>7</v>
      </c>
      <c r="G56" s="11" t="inlineStr">
        <is>
          <t>Simplify</t>
        </is>
      </c>
      <c r="H56" s="10" t="inlineStr">
        <is>
          <t>SF</t>
        </is>
      </c>
      <c r="I56" s="13">
        <f>HYPERLINK("https://jobs.ashbyhq.com/zip/d404b517-9b02-4206-b49e-5c2986603baa/application","Open")</f>
        <v/>
      </c>
      <c r="J56" s="11" t="inlineStr">
        <is>
          <t>No</t>
        </is>
      </c>
      <c r="K56" s="11" t="inlineStr"/>
      <c r="L56" s="10" t="inlineStr"/>
      <c r="M56" s="10" t="inlineStr"/>
      <c r="N56" s="10" t="inlineStr"/>
      <c r="O56" s="10" t="inlineStr"/>
    </row>
    <row r="57">
      <c r="A57" s="28" t="inlineStr">
        <is>
          <t>Intern - Autonomy - Path Planning</t>
        </is>
      </c>
      <c r="B57" s="28" t="inlineStr">
        <is>
          <t>Pivotal Software</t>
        </is>
      </c>
      <c r="C57" s="29" t="inlineStr">
        <is>
          <t>2026-03-11</t>
        </is>
      </c>
      <c r="D57" s="29" t="n">
        <v>3</v>
      </c>
      <c r="E57" s="29" t="inlineStr">
        <is>
          <t>PA</t>
        </is>
      </c>
      <c r="F57" s="30" t="n">
        <v>7</v>
      </c>
      <c r="G57" s="29" t="inlineStr">
        <is>
          <t>Simplify</t>
        </is>
      </c>
      <c r="H57" s="28" t="inlineStr">
        <is>
          <t>Palo Alto, CA</t>
        </is>
      </c>
      <c r="I57" s="31">
        <f>HYPERLINK("https://jobs.lever.co/pivotal/a1e35931-1634-4d5e-ba1a-4d80f7ae4b68/apply","Open")</f>
        <v/>
      </c>
      <c r="J57" s="29" t="inlineStr">
        <is>
          <t>No</t>
        </is>
      </c>
      <c r="K57" s="29" t="inlineStr"/>
      <c r="L57" s="28" t="inlineStr"/>
      <c r="M57" s="28" t="inlineStr"/>
      <c r="N57" s="28" t="inlineStr"/>
      <c r="O57" s="28" t="inlineStr"/>
    </row>
    <row r="58">
      <c r="A58" s="28" t="inlineStr">
        <is>
          <t>AI Intern</t>
        </is>
      </c>
      <c r="B58" s="28" t="inlineStr">
        <is>
          <t>Agility Robotics</t>
        </is>
      </c>
      <c r="C58" s="29" t="inlineStr">
        <is>
          <t>2026-03-11</t>
        </is>
      </c>
      <c r="D58" s="29" t="n">
        <v>3</v>
      </c>
      <c r="E58" s="29" t="inlineStr">
        <is>
          <t>PA</t>
        </is>
      </c>
      <c r="F58" s="32" t="n">
        <v>6</v>
      </c>
      <c r="G58" s="29" t="inlineStr">
        <is>
          <t>Simplify</t>
        </is>
      </c>
      <c r="H58" s="28" t="inlineStr">
        <is>
          <t>Fremont, CA, Salem, OR, Pittsburgh, PA</t>
        </is>
      </c>
      <c r="I58" s="31">
        <f>HYPERLINK("https://www.agilityrobotics.com/about/job-post?gh_jid=5818327004","Open")</f>
        <v/>
      </c>
      <c r="J58" s="29" t="inlineStr">
        <is>
          <t>No</t>
        </is>
      </c>
      <c r="K58" s="29" t="inlineStr"/>
      <c r="L58" s="28" t="inlineStr"/>
      <c r="M58" s="28" t="inlineStr"/>
      <c r="N58" s="28" t="inlineStr"/>
      <c r="O58" s="28" t="inlineStr"/>
    </row>
    <row r="59">
      <c r="A59" s="6" t="inlineStr">
        <is>
          <t>EM University Programs Software Developer Undergraduate Intern</t>
        </is>
      </c>
      <c r="B59" s="6" t="inlineStr">
        <is>
          <t>Savannah River National Laboratory</t>
        </is>
      </c>
      <c r="C59" s="7" t="inlineStr">
        <is>
          <t>2026-03-11</t>
        </is>
      </c>
      <c r="D59" s="7" t="n">
        <v>3</v>
      </c>
      <c r="E59" s="7" t="inlineStr"/>
      <c r="F59" s="8" t="n">
        <v>5</v>
      </c>
      <c r="G59" s="7" t="inlineStr">
        <is>
          <t>Simplify</t>
        </is>
      </c>
      <c r="H59" s="6" t="inlineStr">
        <is>
          <t>North Augusta, SC</t>
        </is>
      </c>
      <c r="I59" s="9">
        <f>HYPERLINK("https://ewvl.fa.us8.oraclecloud.com/hcmUI/CandidateExperience/en/sites/CX_1/job/1994","Open")</f>
        <v/>
      </c>
      <c r="J59" s="7" t="inlineStr">
        <is>
          <t>No</t>
        </is>
      </c>
      <c r="K59" s="7" t="inlineStr"/>
      <c r="L59" s="6" t="inlineStr"/>
      <c r="M59" s="6" t="inlineStr"/>
      <c r="N59" s="6" t="inlineStr"/>
      <c r="O59" s="6" t="inlineStr"/>
    </row>
    <row r="60">
      <c r="A60" s="10" t="inlineStr">
        <is>
          <t>Vehicle Software Engineering Intern</t>
        </is>
      </c>
      <c r="B60" s="10" t="inlineStr">
        <is>
          <t>Parallel Systems</t>
        </is>
      </c>
      <c r="C60" s="11" t="inlineStr">
        <is>
          <t>2026-03-11</t>
        </is>
      </c>
      <c r="D60" s="11" t="n">
        <v>3</v>
      </c>
      <c r="E60" s="11" t="inlineStr"/>
      <c r="F60" s="21" t="n">
        <v>11</v>
      </c>
      <c r="G60" s="11" t="inlineStr">
        <is>
          <t>Simplify</t>
        </is>
      </c>
      <c r="H60" s="10" t="inlineStr">
        <is>
          <t>LA</t>
        </is>
      </c>
      <c r="I60" s="13">
        <f>HYPERLINK("https://boards.greenhouse.io/parallel/jobs/5076769007","Open")</f>
        <v/>
      </c>
      <c r="J60" s="11" t="inlineStr">
        <is>
          <t>No</t>
        </is>
      </c>
      <c r="K60" s="11" t="inlineStr"/>
      <c r="L60" s="10" t="inlineStr"/>
      <c r="M60" s="10" t="inlineStr"/>
      <c r="N60" s="10" t="inlineStr"/>
      <c r="O60" s="10" t="inlineStr"/>
    </row>
    <row r="61">
      <c r="A61" s="6" t="inlineStr">
        <is>
          <t>Software Engineer Intern</t>
        </is>
      </c>
      <c r="B61" s="6" t="inlineStr">
        <is>
          <t>HERE Technologies</t>
        </is>
      </c>
      <c r="C61" s="7" t="inlineStr">
        <is>
          <t>2026-03-11</t>
        </is>
      </c>
      <c r="D61" s="7" t="n">
        <v>3</v>
      </c>
      <c r="E61" s="7" t="inlineStr">
        <is>
          <t>IL</t>
        </is>
      </c>
      <c r="F61" s="19" t="n">
        <v>7</v>
      </c>
      <c r="G61" s="7" t="inlineStr">
        <is>
          <t>Simplify</t>
        </is>
      </c>
      <c r="H61" s="6" t="inlineStr">
        <is>
          <t>Chicago, IL</t>
        </is>
      </c>
      <c r="I61" s="9">
        <f>HYPERLINK("https://careers-here.icims.com/jobs/80793/job?mobile=true&amp;needsRedirect=false","Open")</f>
        <v/>
      </c>
      <c r="J61" s="7" t="inlineStr">
        <is>
          <t>No</t>
        </is>
      </c>
      <c r="K61" s="7" t="inlineStr"/>
      <c r="L61" s="6" t="inlineStr"/>
      <c r="M61" s="6" t="inlineStr"/>
      <c r="N61" s="6" t="inlineStr"/>
      <c r="O61" s="6" t="inlineStr"/>
    </row>
    <row r="62">
      <c r="A62" s="10" t="inlineStr">
        <is>
          <t>Intern Firmware Engineer</t>
        </is>
      </c>
      <c r="B62" s="10" t="inlineStr">
        <is>
          <t>Advanced Energy</t>
        </is>
      </c>
      <c r="C62" s="11" t="inlineStr">
        <is>
          <t>2026-03-11</t>
        </is>
      </c>
      <c r="D62" s="11" t="n">
        <v>3</v>
      </c>
      <c r="E62" s="11" t="inlineStr">
        <is>
          <t>CO</t>
        </is>
      </c>
      <c r="F62" s="18" t="n">
        <v>5</v>
      </c>
      <c r="G62" s="11" t="inlineStr">
        <is>
          <t>Simplify</t>
        </is>
      </c>
      <c r="H62" s="10" t="inlineStr">
        <is>
          <t>Fort Collins, CO</t>
        </is>
      </c>
      <c r="I62" s="13">
        <f>HYPERLINK("https://jobs.advanced-energy.com/job/Fort-Collins-Intern-Firmware-Engineer-Summer-2026-CO-80525/1372518000/?ats=successfactors","Open")</f>
        <v/>
      </c>
      <c r="J62" s="11" t="inlineStr">
        <is>
          <t>No</t>
        </is>
      </c>
      <c r="K62" s="11" t="inlineStr"/>
      <c r="L62" s="10" t="inlineStr"/>
      <c r="M62" s="10" t="inlineStr"/>
      <c r="N62" s="10" t="inlineStr"/>
      <c r="O62" s="10" t="inlineStr"/>
    </row>
    <row r="63">
      <c r="A63" s="6" t="inlineStr">
        <is>
          <t>Data Engineer Intern</t>
        </is>
      </c>
      <c r="B63" s="6" t="inlineStr">
        <is>
          <t>Centerfield</t>
        </is>
      </c>
      <c r="C63" s="7" t="inlineStr">
        <is>
          <t>2026-03-11</t>
        </is>
      </c>
      <c r="D63" s="7" t="n">
        <v>3</v>
      </c>
      <c r="E63" s="7" t="inlineStr"/>
      <c r="F63" s="8" t="n">
        <v>6</v>
      </c>
      <c r="G63" s="7" t="inlineStr">
        <is>
          <t>Simplify</t>
        </is>
      </c>
      <c r="H63" s="6" t="inlineStr">
        <is>
          <t>LA</t>
        </is>
      </c>
      <c r="I63" s="9">
        <f>HYPERLINK("https://jobs.ashbyhq.com/centerfield/ade3a6da-e897-4eae-ba8e-b18f32e8ac17/application","Open")</f>
        <v/>
      </c>
      <c r="J63" s="7" t="inlineStr">
        <is>
          <t>No</t>
        </is>
      </c>
      <c r="K63" s="7" t="inlineStr"/>
      <c r="L63" s="6" t="inlineStr"/>
      <c r="M63" s="6" t="inlineStr"/>
      <c r="N63" s="6" t="inlineStr"/>
      <c r="O63" s="6" t="inlineStr"/>
    </row>
    <row r="64">
      <c r="A64" s="10" t="inlineStr">
        <is>
          <t>Software Developer Intern</t>
        </is>
      </c>
      <c r="B64" s="10" t="inlineStr">
        <is>
          <t>Al Warren Oil Company</t>
        </is>
      </c>
      <c r="C64" s="11" t="inlineStr">
        <is>
          <t>2026-03-11</t>
        </is>
      </c>
      <c r="D64" s="11" t="n">
        <v>3</v>
      </c>
      <c r="E64" s="11" t="inlineStr">
        <is>
          <t>IL</t>
        </is>
      </c>
      <c r="F64" s="18" t="n">
        <v>5</v>
      </c>
      <c r="G64" s="11" t="inlineStr">
        <is>
          <t>Simplify</t>
        </is>
      </c>
      <c r="H64" s="10" t="inlineStr">
        <is>
          <t>Elk Grove Village, IL</t>
        </is>
      </c>
      <c r="I64" s="13">
        <f>HYPERLINK("https://apply.workable.com/al-warren-oil-company-inc/j/D1A7DB40A1/apply","Open")</f>
        <v/>
      </c>
      <c r="J64" s="11" t="inlineStr">
        <is>
          <t>No</t>
        </is>
      </c>
      <c r="K64" s="11" t="inlineStr"/>
      <c r="L64" s="10" t="inlineStr"/>
      <c r="M64" s="10" t="inlineStr"/>
      <c r="N64" s="10" t="inlineStr"/>
      <c r="O64" s="10" t="inlineStr"/>
    </row>
    <row r="65">
      <c r="A65" s="6" t="inlineStr">
        <is>
          <t>Software Engineer Intern</t>
        </is>
      </c>
      <c r="B65" s="6" t="inlineStr">
        <is>
          <t>HERE Technologies</t>
        </is>
      </c>
      <c r="C65" s="7" t="inlineStr">
        <is>
          <t>2026-03-11</t>
        </is>
      </c>
      <c r="D65" s="7" t="n">
        <v>3</v>
      </c>
      <c r="E65" s="7" t="inlineStr">
        <is>
          <t>IL</t>
        </is>
      </c>
      <c r="F65" s="19" t="n">
        <v>7</v>
      </c>
      <c r="G65" s="7" t="inlineStr">
        <is>
          <t>Simplify</t>
        </is>
      </c>
      <c r="H65" s="6" t="inlineStr">
        <is>
          <t>Chicago, IL</t>
        </is>
      </c>
      <c r="I65" s="9">
        <f>HYPERLINK("https://careers-here.icims.com/jobs/80772/job?mobile=true&amp;needsRedirect=false","Open")</f>
        <v/>
      </c>
      <c r="J65" s="7" t="inlineStr">
        <is>
          <t>No</t>
        </is>
      </c>
      <c r="K65" s="7" t="inlineStr"/>
      <c r="L65" s="6" t="inlineStr"/>
      <c r="M65" s="6" t="inlineStr"/>
      <c r="N65" s="6" t="inlineStr"/>
      <c r="O65" s="6" t="inlineStr"/>
    </row>
    <row r="66">
      <c r="A66" s="10" t="inlineStr">
        <is>
          <t>Software Engineer Intern</t>
        </is>
      </c>
      <c r="B66" s="10" t="inlineStr">
        <is>
          <t>General Dynamics Mission Systems</t>
        </is>
      </c>
      <c r="C66" s="11" t="inlineStr">
        <is>
          <t>2026-03-11</t>
        </is>
      </c>
      <c r="D66" s="11" t="n">
        <v>3</v>
      </c>
      <c r="E66" s="11" t="inlineStr"/>
      <c r="F66" s="12" t="n">
        <v>7</v>
      </c>
      <c r="G66" s="11" t="inlineStr">
        <is>
          <t>Simplify</t>
        </is>
      </c>
      <c r="H66" s="10" t="inlineStr">
        <is>
          <t>Bloomington, MN</t>
        </is>
      </c>
      <c r="I66" s="13">
        <f>HYPERLINK("https://careers-gdms.icims.com/jobs/70859/job?mobile=true&amp;needsRedirect=false","Open")</f>
        <v/>
      </c>
      <c r="J66" s="11" t="inlineStr">
        <is>
          <t>No</t>
        </is>
      </c>
      <c r="K66" s="11" t="inlineStr"/>
      <c r="L66" s="10" t="inlineStr"/>
      <c r="M66" s="10" t="inlineStr"/>
      <c r="N66" s="10" t="inlineStr"/>
      <c r="O66" s="10" t="inlineStr"/>
    </row>
    <row r="67">
      <c r="A67" s="6" t="inlineStr">
        <is>
          <t>Intern – Innovation Platform Software Engineer</t>
        </is>
      </c>
      <c r="B67" s="6" t="inlineStr">
        <is>
          <t>Rockwell Automation</t>
        </is>
      </c>
      <c r="C67" s="7" t="inlineStr">
        <is>
          <t>2026-03-11</t>
        </is>
      </c>
      <c r="D67" s="7" t="n">
        <v>3</v>
      </c>
      <c r="E67" s="7" t="inlineStr">
        <is>
          <t>MI</t>
        </is>
      </c>
      <c r="F67" s="19" t="n">
        <v>7</v>
      </c>
      <c r="G67" s="7" t="inlineStr">
        <is>
          <t>Simplify</t>
        </is>
      </c>
      <c r="H67" s="6" t="inlineStr">
        <is>
          <t>Milwaukee, WI</t>
        </is>
      </c>
      <c r="I67" s="9">
        <f>HYPERLINK("https://rockwellautomation.wd1.myworkdayjobs.com/External-Rockwell-Automation-Early-Careers/job/Milwaukee-Wisconsin-United-States/Intern--Innovation-Platform-Software-Engineer_R25-6933","Open")</f>
        <v/>
      </c>
      <c r="J67" s="7" t="inlineStr">
        <is>
          <t>No</t>
        </is>
      </c>
      <c r="K67" s="7" t="inlineStr"/>
      <c r="L67" s="6" t="inlineStr"/>
      <c r="M67" s="6" t="inlineStr"/>
      <c r="N67" s="6" t="inlineStr"/>
      <c r="O67" s="6" t="inlineStr"/>
    </row>
    <row r="68">
      <c r="A68" s="10" t="inlineStr">
        <is>
          <t>Co-op Software Engineering</t>
        </is>
      </c>
      <c r="B68" s="10" t="inlineStr">
        <is>
          <t>Rockwell Automation</t>
        </is>
      </c>
      <c r="C68" s="11" t="inlineStr">
        <is>
          <t>2026-03-11</t>
        </is>
      </c>
      <c r="D68" s="11" t="n">
        <v>3</v>
      </c>
      <c r="E68" s="11" t="inlineStr">
        <is>
          <t>MA</t>
        </is>
      </c>
      <c r="F68" s="21" t="n">
        <v>11</v>
      </c>
      <c r="G68" s="11" t="inlineStr">
        <is>
          <t>Simplify</t>
        </is>
      </c>
      <c r="H68" s="10" t="inlineStr">
        <is>
          <t>Mayfield Heights, OH, Milwaukee, WI</t>
        </is>
      </c>
      <c r="I68" s="13">
        <f>HYPERLINK("https://rockwellautomation.wd1.myworkdayjobs.com/External-Rockwell-Automation-Early-Careers/job/Mayfield-Heights-Ohio-United-States/Co-op--Software-Engineering--May-2026---December-2026-_R25-7377","Open")</f>
        <v/>
      </c>
      <c r="J68" s="11" t="inlineStr">
        <is>
          <t>No</t>
        </is>
      </c>
      <c r="K68" s="11" t="inlineStr"/>
      <c r="L68" s="10" t="inlineStr"/>
      <c r="M68" s="10" t="inlineStr"/>
      <c r="N68" s="10" t="inlineStr"/>
      <c r="O68" s="10" t="inlineStr"/>
    </row>
    <row r="69">
      <c r="A69" s="6" t="inlineStr">
        <is>
          <t>Software Engineering Intern</t>
        </is>
      </c>
      <c r="B69" s="6" t="inlineStr">
        <is>
          <t>Ultra</t>
        </is>
      </c>
      <c r="C69" s="7" t="inlineStr">
        <is>
          <t>2026-03-11</t>
        </is>
      </c>
      <c r="D69" s="7" t="n">
        <v>3</v>
      </c>
      <c r="E69" s="7" t="inlineStr">
        <is>
          <t>VA</t>
        </is>
      </c>
      <c r="F69" s="20" t="n">
        <v>11</v>
      </c>
      <c r="G69" s="7" t="inlineStr">
        <is>
          <t>Simplify</t>
        </is>
      </c>
      <c r="H69" s="6" t="inlineStr">
        <is>
          <t>Chantilly, VA</t>
        </is>
      </c>
      <c r="I69" s="9">
        <f>HYPERLINK("https://ultra.wd3.myworkdayjobs.com/ultra-careers/job/Chantilly-VA-United-States/Software-Engineering-Intern--Summer-2026-_REQ-11492","Open")</f>
        <v/>
      </c>
      <c r="J69" s="7" t="inlineStr">
        <is>
          <t>No</t>
        </is>
      </c>
      <c r="K69" s="7" t="inlineStr"/>
      <c r="L69" s="6" t="inlineStr"/>
      <c r="M69" s="6" t="inlineStr"/>
      <c r="N69" s="6" t="inlineStr"/>
      <c r="O69" s="6" t="inlineStr"/>
    </row>
    <row r="70">
      <c r="A70" s="28" t="inlineStr">
        <is>
          <t>Radar Sensing AI Research Intern</t>
        </is>
      </c>
      <c r="B70" s="28" t="inlineStr">
        <is>
          <t>Robert Bosch Venture Capital</t>
        </is>
      </c>
      <c r="C70" s="29" t="inlineStr">
        <is>
          <t>2026-03-11</t>
        </is>
      </c>
      <c r="D70" s="29" t="n">
        <v>3</v>
      </c>
      <c r="E70" s="29" t="inlineStr">
        <is>
          <t>PA</t>
        </is>
      </c>
      <c r="F70" s="32" t="n">
        <v>6</v>
      </c>
      <c r="G70" s="29" t="inlineStr">
        <is>
          <t>Simplify</t>
        </is>
      </c>
      <c r="H70" s="28" t="inlineStr">
        <is>
          <t>Pittsburgh, PA</t>
        </is>
      </c>
      <c r="I70" s="31">
        <f>HYPERLINK("https://jobs.smartrecruiters.com/BoschGroup/744000114051017","Open")</f>
        <v/>
      </c>
      <c r="J70" s="29" t="inlineStr">
        <is>
          <t>No</t>
        </is>
      </c>
      <c r="K70" s="29" t="inlineStr"/>
      <c r="L70" s="28" t="inlineStr"/>
      <c r="M70" s="28" t="inlineStr"/>
      <c r="N70" s="28" t="inlineStr"/>
      <c r="O70" s="28" t="inlineStr"/>
    </row>
    <row r="71">
      <c r="A71" s="2" t="inlineStr">
        <is>
          <t>Front-End Developer Intern</t>
        </is>
      </c>
      <c r="B71" s="2" t="inlineStr">
        <is>
          <t>Trainerize</t>
        </is>
      </c>
      <c r="C71" s="3" t="inlineStr">
        <is>
          <t>2026-03-11</t>
        </is>
      </c>
      <c r="D71" s="3" t="n">
        <v>3</v>
      </c>
      <c r="E71" s="3" t="inlineStr">
        <is>
          <t>Remote</t>
        </is>
      </c>
      <c r="F71" s="27" t="n">
        <v>4</v>
      </c>
      <c r="G71" s="3" t="inlineStr">
        <is>
          <t>AlmondCroffle</t>
        </is>
      </c>
      <c r="H71" s="2" t="inlineStr">
        <is>
          <t>Remote in US</t>
        </is>
      </c>
      <c r="I71" s="5">
        <f>HYPERLINK("https://abcfinancial.wd5.myworkdayjobs.com/en-US/abcfinancialservices/job/Remote-United-States/Front-End-Developer-Intern_REQ-1178","Open")</f>
        <v/>
      </c>
      <c r="J71" s="3" t="inlineStr">
        <is>
          <t>No</t>
        </is>
      </c>
      <c r="K71" s="3" t="inlineStr"/>
      <c r="L71" s="2" t="inlineStr"/>
      <c r="M71" s="2" t="inlineStr"/>
      <c r="N71" s="2" t="inlineStr"/>
      <c r="O71" s="2" t="inlineStr"/>
    </row>
    <row r="72">
      <c r="A72" s="10" t="inlineStr">
        <is>
          <t>AI Developer Intern</t>
        </is>
      </c>
      <c r="B72" s="10" t="inlineStr">
        <is>
          <t>Monolithic Power Systems</t>
        </is>
      </c>
      <c r="C72" s="11" t="inlineStr">
        <is>
          <t>2026-03-11</t>
        </is>
      </c>
      <c r="D72" s="11" t="n">
        <v>3</v>
      </c>
      <c r="E72" s="11" t="inlineStr">
        <is>
          <t>CA</t>
        </is>
      </c>
      <c r="F72" s="12" t="n">
        <v>7</v>
      </c>
      <c r="G72" s="11" t="inlineStr">
        <is>
          <t>Simplify</t>
        </is>
      </c>
      <c r="H72" s="10" t="inlineStr">
        <is>
          <t>San Jose, CA</t>
        </is>
      </c>
      <c r="I72" s="13">
        <f>HYPERLINK("https://monolithicpower.wd12.myworkdayjobs.com/MPS_Careers/job/San-Jose---California/AI-Developer-Intern_R-674","Open")</f>
        <v/>
      </c>
      <c r="J72" s="11" t="inlineStr">
        <is>
          <t>No</t>
        </is>
      </c>
      <c r="K72" s="11" t="inlineStr"/>
      <c r="L72" s="10" t="inlineStr"/>
      <c r="M72" s="10" t="inlineStr"/>
      <c r="N72" s="10" t="inlineStr"/>
      <c r="O72" s="10" t="inlineStr"/>
    </row>
    <row r="73">
      <c r="A73" s="6" t="inlineStr">
        <is>
          <t>IT System Software Intern</t>
        </is>
      </c>
      <c r="B73" s="6" t="inlineStr">
        <is>
          <t>Monolithic Power Systems</t>
        </is>
      </c>
      <c r="C73" s="7" t="inlineStr">
        <is>
          <t>2026-03-11</t>
        </is>
      </c>
      <c r="D73" s="7" t="n">
        <v>3</v>
      </c>
      <c r="E73" s="7" t="inlineStr">
        <is>
          <t>CA</t>
        </is>
      </c>
      <c r="F73" s="8" t="n">
        <v>6</v>
      </c>
      <c r="G73" s="7" t="inlineStr">
        <is>
          <t>Simplify</t>
        </is>
      </c>
      <c r="H73" s="6" t="inlineStr">
        <is>
          <t>San Jose, CA</t>
        </is>
      </c>
      <c r="I73" s="9">
        <f>HYPERLINK("https://monolithicpower.wd12.myworkdayjobs.com/MPS_Careers/job/San-Jose-CA/IT-System-Software-Intern_R-1089","Open")</f>
        <v/>
      </c>
      <c r="J73" s="7" t="inlineStr">
        <is>
          <t>No</t>
        </is>
      </c>
      <c r="K73" s="7" t="inlineStr"/>
      <c r="L73" s="6" t="inlineStr"/>
      <c r="M73" s="6" t="inlineStr"/>
      <c r="N73" s="6" t="inlineStr"/>
      <c r="O73" s="6" t="inlineStr"/>
    </row>
    <row r="74">
      <c r="A74" s="10" t="inlineStr">
        <is>
          <t>Software Developer Intern</t>
        </is>
      </c>
      <c r="B74" s="10" t="inlineStr">
        <is>
          <t>Parsons</t>
        </is>
      </c>
      <c r="C74" s="11" t="inlineStr">
        <is>
          <t>2026-03-10</t>
        </is>
      </c>
      <c r="D74" s="11" t="n">
        <v>4</v>
      </c>
      <c r="E74" s="11" t="inlineStr">
        <is>
          <t>VA</t>
        </is>
      </c>
      <c r="F74" s="18" t="n">
        <v>5</v>
      </c>
      <c r="G74" s="11" t="inlineStr">
        <is>
          <t>Simplify</t>
        </is>
      </c>
      <c r="H74" s="10" t="inlineStr">
        <is>
          <t>Centreville, VA</t>
        </is>
      </c>
      <c r="I74" s="13">
        <f>HYPERLINK("https://parsons.wd5.myworkdayjobs.com/en-US/search/job/US---VA-Centreville/Software-Developer-Intern---US-Citizenship-Required_R178372-1","Open")</f>
        <v/>
      </c>
      <c r="J74" s="11" t="inlineStr">
        <is>
          <t>No</t>
        </is>
      </c>
      <c r="K74" s="11" t="inlineStr"/>
      <c r="L74" s="10" t="inlineStr"/>
      <c r="M74" s="10" t="inlineStr"/>
      <c r="N74" s="10" t="inlineStr"/>
      <c r="O74" s="10" t="inlineStr"/>
    </row>
    <row r="75">
      <c r="A75" s="6" t="inlineStr">
        <is>
          <t>Software Developer Bachelor's Intern</t>
        </is>
      </c>
      <c r="B75" s="6" t="inlineStr">
        <is>
          <t>Kaiser Permanente</t>
        </is>
      </c>
      <c r="C75" s="7" t="inlineStr">
        <is>
          <t>2026-03-10</t>
        </is>
      </c>
      <c r="D75" s="7" t="n">
        <v>4</v>
      </c>
      <c r="E75" s="7" t="inlineStr">
        <is>
          <t>CA</t>
        </is>
      </c>
      <c r="F75" s="19" t="n">
        <v>7</v>
      </c>
      <c r="G75" s="7" t="inlineStr">
        <is>
          <t>Simplify</t>
        </is>
      </c>
      <c r="H75" s="6" t="inlineStr">
        <is>
          <t>Pleasanton, CA</t>
        </is>
      </c>
      <c r="I75" s="9">
        <f>HYPERLINK("https://kp.taleo.net/careersection/external/jobdetail.ftl?job=1411792","Open")</f>
        <v/>
      </c>
      <c r="J75" s="7" t="inlineStr">
        <is>
          <t>No</t>
        </is>
      </c>
      <c r="K75" s="7" t="inlineStr"/>
      <c r="L75" s="6" t="inlineStr"/>
      <c r="M75" s="6" t="inlineStr"/>
      <c r="N75" s="6" t="inlineStr"/>
      <c r="O75" s="6" t="inlineStr"/>
    </row>
    <row r="76">
      <c r="A76" s="10" t="inlineStr">
        <is>
          <t>Software Engineering Co-Op</t>
        </is>
      </c>
      <c r="B76" s="10" t="inlineStr">
        <is>
          <t>Johnson &amp; Johnson</t>
        </is>
      </c>
      <c r="C76" s="11" t="inlineStr">
        <is>
          <t>2026-03-10</t>
        </is>
      </c>
      <c r="D76" s="11" t="n">
        <v>4</v>
      </c>
      <c r="E76" s="11" t="inlineStr">
        <is>
          <t>MA</t>
        </is>
      </c>
      <c r="F76" s="21" t="n">
        <v>11</v>
      </c>
      <c r="G76" s="11" t="inlineStr">
        <is>
          <t>Simplify</t>
        </is>
      </c>
      <c r="H76" s="10" t="inlineStr">
        <is>
          <t>Peabody, MA</t>
        </is>
      </c>
      <c r="I76" s="13">
        <f>HYPERLINK("https://jj.wd5.myworkdayjobs.com/JJ/job/Danvers-Massachusetts-United-States-of-America/Software-Engineering-Co-Op---Fall-2026_R-062573","Open")</f>
        <v/>
      </c>
      <c r="J76" s="11" t="inlineStr">
        <is>
          <t>No</t>
        </is>
      </c>
      <c r="K76" s="11" t="inlineStr"/>
      <c r="L76" s="10" t="inlineStr"/>
      <c r="M76" s="10" t="inlineStr"/>
      <c r="N76" s="10" t="inlineStr"/>
      <c r="O76" s="10" t="inlineStr"/>
    </row>
    <row r="77">
      <c r="A77" s="14" t="inlineStr">
        <is>
          <t>System and Firmware Engineer Intern</t>
        </is>
      </c>
      <c r="B77" s="14" t="inlineStr">
        <is>
          <t>Analog Devices</t>
        </is>
      </c>
      <c r="C77" s="15" t="inlineStr">
        <is>
          <t>2026-03-10</t>
        </is>
      </c>
      <c r="D77" s="15" t="n">
        <v>4</v>
      </c>
      <c r="E77" s="15" t="inlineStr">
        <is>
          <t>NJ</t>
        </is>
      </c>
      <c r="F77" s="33" t="n">
        <v>5</v>
      </c>
      <c r="G77" s="15" t="inlineStr">
        <is>
          <t>Simplify</t>
        </is>
      </c>
      <c r="H77" s="14" t="inlineStr">
        <is>
          <t>Somerset County, NJ</t>
        </is>
      </c>
      <c r="I77" s="17">
        <f>HYPERLINK("https://analogdevices.wd1.myworkdayjobs.com/External/job/US-NJ-Somerset/System-and-Firmware-Engineer-Intern_R258554","Open")</f>
        <v/>
      </c>
      <c r="J77" s="15" t="inlineStr">
        <is>
          <t>No</t>
        </is>
      </c>
      <c r="K77" s="15" t="inlineStr"/>
      <c r="L77" s="14" t="inlineStr"/>
      <c r="M77" s="14" t="inlineStr"/>
      <c r="N77" s="14" t="inlineStr"/>
      <c r="O77" s="14" t="inlineStr"/>
    </row>
    <row r="78">
      <c r="A78" s="10" t="inlineStr">
        <is>
          <t>Software Development Engineer – Intern - AI</t>
        </is>
      </c>
      <c r="B78" s="10" t="inlineStr">
        <is>
          <t>F5</t>
        </is>
      </c>
      <c r="C78" s="11" t="inlineStr">
        <is>
          <t>2026-03-10</t>
        </is>
      </c>
      <c r="D78" s="11" t="n">
        <v>4</v>
      </c>
      <c r="E78" s="11" t="inlineStr">
        <is>
          <t>CA</t>
        </is>
      </c>
      <c r="F78" s="18" t="n">
        <v>5</v>
      </c>
      <c r="G78" s="11" t="inlineStr">
        <is>
          <t>Simplify</t>
        </is>
      </c>
      <c r="H78" s="10" t="inlineStr">
        <is>
          <t>Seattle, WA, San Jose, CA</t>
        </is>
      </c>
      <c r="I78" s="13">
        <f>HYPERLINK("https://ffive.wd5.myworkdayjobs.com/en-US/f5jobs/job/Seattle/Software-Development-Engineer--AI--Intern_RP1036891","Open")</f>
        <v/>
      </c>
      <c r="J78" s="11" t="inlineStr">
        <is>
          <t>No</t>
        </is>
      </c>
      <c r="K78" s="11" t="inlineStr"/>
      <c r="L78" s="10" t="inlineStr"/>
      <c r="M78" s="10" t="inlineStr"/>
      <c r="N78" s="10" t="inlineStr"/>
      <c r="O78" s="10" t="inlineStr"/>
    </row>
    <row r="79">
      <c r="A79" s="6" t="inlineStr">
        <is>
          <t>Software Engineer Intern</t>
        </is>
      </c>
      <c r="B79" s="6" t="inlineStr">
        <is>
          <t>Otis</t>
        </is>
      </c>
      <c r="C79" s="7" t="inlineStr">
        <is>
          <t>2026-03-10</t>
        </is>
      </c>
      <c r="D79" s="7" t="n">
        <v>4</v>
      </c>
      <c r="E79" s="7" t="inlineStr">
        <is>
          <t>CT</t>
        </is>
      </c>
      <c r="F79" s="19" t="n">
        <v>7</v>
      </c>
      <c r="G79" s="7" t="inlineStr">
        <is>
          <t>Simplify</t>
        </is>
      </c>
      <c r="H79" s="6" t="inlineStr">
        <is>
          <t>Farmington, CT</t>
        </is>
      </c>
      <c r="I79" s="9">
        <f>HYPERLINK("https://otis.wd5.myworkdayjobs.com/en-US/REC_Ext_Gateway/job/OT494-5FS---Farmington-CT-5-Farm-Springs-Farmington-CT-06032-USA/Software-Engineering-Intern_20154620","Open")</f>
        <v/>
      </c>
      <c r="J79" s="7" t="inlineStr">
        <is>
          <t>No</t>
        </is>
      </c>
      <c r="K79" s="7" t="inlineStr"/>
      <c r="L79" s="6" t="inlineStr"/>
      <c r="M79" s="6" t="inlineStr"/>
      <c r="N79" s="6" t="inlineStr"/>
      <c r="O79" s="6" t="inlineStr"/>
    </row>
    <row r="80">
      <c r="A80" s="10" t="inlineStr">
        <is>
          <t>Software Development Engineer Intern - AI</t>
        </is>
      </c>
      <c r="B80" s="10" t="inlineStr">
        <is>
          <t>F5</t>
        </is>
      </c>
      <c r="C80" s="11" t="inlineStr">
        <is>
          <t>2026-03-10</t>
        </is>
      </c>
      <c r="D80" s="11" t="n">
        <v>4</v>
      </c>
      <c r="E80" s="11" t="inlineStr">
        <is>
          <t>WA</t>
        </is>
      </c>
      <c r="F80" s="18" t="n">
        <v>5</v>
      </c>
      <c r="G80" s="11" t="inlineStr">
        <is>
          <t>Simplify</t>
        </is>
      </c>
      <c r="H80" s="10" t="inlineStr">
        <is>
          <t>Seattle, WA</t>
        </is>
      </c>
      <c r="I80" s="13">
        <f>HYPERLINK("https://ffive.wd5.myworkdayjobs.com/en-US/f5jobs/job/Seattle/Software-Development-Engineer--AI--Intern_RP1036893","Open")</f>
        <v/>
      </c>
      <c r="J80" s="11" t="inlineStr">
        <is>
          <t>No</t>
        </is>
      </c>
      <c r="K80" s="11" t="inlineStr"/>
      <c r="L80" s="10" t="inlineStr"/>
      <c r="M80" s="10" t="inlineStr"/>
      <c r="N80" s="10" t="inlineStr"/>
      <c r="O80" s="10" t="inlineStr"/>
    </row>
    <row r="81">
      <c r="A81" s="6" t="inlineStr">
        <is>
          <t>Intern Software Engineer</t>
        </is>
      </c>
      <c r="B81" s="6" t="inlineStr">
        <is>
          <t>Hayden AI</t>
        </is>
      </c>
      <c r="C81" s="7" t="inlineStr">
        <is>
          <t>2026-03-10</t>
        </is>
      </c>
      <c r="D81" s="7" t="n">
        <v>4</v>
      </c>
      <c r="E81" s="7" t="inlineStr"/>
      <c r="F81" s="19" t="n">
        <v>9</v>
      </c>
      <c r="G81" s="7" t="inlineStr">
        <is>
          <t>Simplify</t>
        </is>
      </c>
      <c r="H81" s="6" t="inlineStr">
        <is>
          <t>SF</t>
        </is>
      </c>
      <c r="I81" s="9">
        <f>HYPERLINK("https://jobs.ashbyhq.com/haydenai/b577f0a4-d5c7-450d-b302-5b7b9946c020/application","Open")</f>
        <v/>
      </c>
      <c r="J81" s="7" t="inlineStr">
        <is>
          <t>No</t>
        </is>
      </c>
      <c r="K81" s="7" t="inlineStr"/>
      <c r="L81" s="6" t="inlineStr"/>
      <c r="M81" s="6" t="inlineStr"/>
      <c r="N81" s="6" t="inlineStr"/>
      <c r="O81" s="6" t="inlineStr"/>
    </row>
    <row r="82">
      <c r="A82" s="28" t="inlineStr">
        <is>
          <t>Software Engineering Intern</t>
        </is>
      </c>
      <c r="B82" s="28" t="inlineStr">
        <is>
          <t>T-Mobile</t>
        </is>
      </c>
      <c r="C82" s="29" t="inlineStr">
        <is>
          <t>2026-03-10</t>
        </is>
      </c>
      <c r="D82" s="29" t="n">
        <v>4</v>
      </c>
      <c r="E82" s="29" t="inlineStr">
        <is>
          <t>PA</t>
        </is>
      </c>
      <c r="F82" s="34" t="n">
        <v>11</v>
      </c>
      <c r="G82" s="29" t="inlineStr">
        <is>
          <t>Simplify</t>
        </is>
      </c>
      <c r="H82" s="28" t="inlineStr">
        <is>
          <t>Overland Park, KS</t>
        </is>
      </c>
      <c r="I82" s="31">
        <f>HYPERLINK("https://tmobile.wd1.myworkdayjobs.com/External/job/Overland-Park-Kansas/Summer-2026-Software-Engineering-Internship_REQ346602","Open")</f>
        <v/>
      </c>
      <c r="J82" s="29" t="inlineStr">
        <is>
          <t>No</t>
        </is>
      </c>
      <c r="K82" s="29" t="inlineStr"/>
      <c r="L82" s="28" t="inlineStr"/>
      <c r="M82" s="28" t="inlineStr"/>
      <c r="N82" s="28" t="inlineStr"/>
      <c r="O82" s="28" t="inlineStr"/>
    </row>
    <row r="83">
      <c r="A83" s="28" t="inlineStr">
        <is>
          <t>Firmware Engineering Intern/Co-op</t>
        </is>
      </c>
      <c r="B83" s="28" t="inlineStr">
        <is>
          <t>Teleo</t>
        </is>
      </c>
      <c r="C83" s="29" t="inlineStr">
        <is>
          <t>2026-03-10</t>
        </is>
      </c>
      <c r="D83" s="29" t="n">
        <v>4</v>
      </c>
      <c r="E83" s="29" t="inlineStr">
        <is>
          <t>PA</t>
        </is>
      </c>
      <c r="F83" s="32" t="n">
        <v>5</v>
      </c>
      <c r="G83" s="29" t="inlineStr">
        <is>
          <t>Simplify</t>
        </is>
      </c>
      <c r="H83" s="28" t="inlineStr">
        <is>
          <t>Palo Alto, CA</t>
        </is>
      </c>
      <c r="I83" s="31">
        <f>HYPERLINK("https://jobs.lever.co/teleo/63fe96ee-74dc-41eb-80bc-6f80133c9ffa/apply","Open")</f>
        <v/>
      </c>
      <c r="J83" s="29" t="inlineStr">
        <is>
          <t>No</t>
        </is>
      </c>
      <c r="K83" s="29" t="inlineStr"/>
      <c r="L83" s="28" t="inlineStr"/>
      <c r="M83" s="28" t="inlineStr"/>
      <c r="N83" s="28" t="inlineStr"/>
      <c r="O83" s="28" t="inlineStr"/>
    </row>
    <row r="84">
      <c r="A84" s="10" t="inlineStr">
        <is>
          <t>Software Engineering Intern - Multiple Teams</t>
        </is>
      </c>
      <c r="B84" s="10" t="inlineStr">
        <is>
          <t>Copart</t>
        </is>
      </c>
      <c r="C84" s="11" t="inlineStr">
        <is>
          <t>2026-03-10</t>
        </is>
      </c>
      <c r="D84" s="11" t="n">
        <v>4</v>
      </c>
      <c r="E84" s="11" t="inlineStr">
        <is>
          <t>TX</t>
        </is>
      </c>
      <c r="F84" s="21" t="n">
        <v>11</v>
      </c>
      <c r="G84" s="11" t="inlineStr">
        <is>
          <t>Simplify</t>
        </is>
      </c>
      <c r="H84" s="10" t="inlineStr">
        <is>
          <t>Dallas, TX</t>
        </is>
      </c>
      <c r="I84" s="13">
        <f>HYPERLINK("https://copart.wd12.myworkdayjobs.com/copart/job/Dallas-TX---Headquarters/Software-Engineering-intern_JR107698","Open")</f>
        <v/>
      </c>
      <c r="J84" s="11" t="inlineStr">
        <is>
          <t>No</t>
        </is>
      </c>
      <c r="K84" s="11" t="inlineStr"/>
      <c r="L84" s="10" t="inlineStr"/>
      <c r="M84" s="10" t="inlineStr"/>
      <c r="N84" s="10" t="inlineStr"/>
      <c r="O84" s="10" t="inlineStr"/>
    </row>
    <row r="85">
      <c r="A85" s="6" t="inlineStr">
        <is>
          <t>Intern – Software Developer</t>
        </is>
      </c>
      <c r="B85" s="6" t="inlineStr">
        <is>
          <t>Autodesk</t>
        </is>
      </c>
      <c r="C85" s="7" t="inlineStr">
        <is>
          <t>2026-03-10</t>
        </is>
      </c>
      <c r="D85" s="7" t="n">
        <v>4</v>
      </c>
      <c r="E85" s="7" t="inlineStr">
        <is>
          <t>CA</t>
        </is>
      </c>
      <c r="F85" s="8" t="n">
        <v>5</v>
      </c>
      <c r="G85" s="7" t="inlineStr">
        <is>
          <t>Simplify</t>
        </is>
      </c>
      <c r="H85" s="6" t="inlineStr">
        <is>
          <t>Montreal, QC, Canada</t>
        </is>
      </c>
      <c r="I85" s="9">
        <f>HYPERLINK("https://autodesk.wd1.myworkdayjobs.com/uni/job/Montreal-QC-CAN/Intern--Software-Developer_25WD92317","Open")</f>
        <v/>
      </c>
      <c r="J85" s="7" t="inlineStr">
        <is>
          <t>No</t>
        </is>
      </c>
      <c r="K85" s="7" t="inlineStr"/>
      <c r="L85" s="6" t="inlineStr"/>
      <c r="M85" s="6" t="inlineStr"/>
      <c r="N85" s="6" t="inlineStr"/>
      <c r="O85" s="6" t="inlineStr"/>
    </row>
    <row r="86">
      <c r="A86" s="10" t="inlineStr">
        <is>
          <t>Software Developer Intern</t>
        </is>
      </c>
      <c r="B86" s="10" t="inlineStr">
        <is>
          <t>Solink</t>
        </is>
      </c>
      <c r="C86" s="11" t="inlineStr">
        <is>
          <t>2026-03-10</t>
        </is>
      </c>
      <c r="D86" s="11" t="n">
        <v>4</v>
      </c>
      <c r="E86" s="11" t="inlineStr">
        <is>
          <t>CA</t>
        </is>
      </c>
      <c r="F86" s="18" t="n">
        <v>5</v>
      </c>
      <c r="G86" s="11" t="inlineStr">
        <is>
          <t>Simplify</t>
        </is>
      </c>
      <c r="H86" s="10" t="inlineStr">
        <is>
          <t>Ottawa, ON, Canada</t>
        </is>
      </c>
      <c r="I86" s="13">
        <f>HYPERLINK("https://jobs.ashbyhq.com/solink/506e5910-4e59-4464-b38d-341151fc71d1/application","Open")</f>
        <v/>
      </c>
      <c r="J86" s="11" t="inlineStr">
        <is>
          <t>No</t>
        </is>
      </c>
      <c r="K86" s="11" t="inlineStr"/>
      <c r="L86" s="10" t="inlineStr"/>
      <c r="M86" s="10" t="inlineStr"/>
      <c r="N86" s="10" t="inlineStr"/>
      <c r="O86" s="10" t="inlineStr"/>
    </row>
    <row r="87">
      <c r="A87" s="6" t="inlineStr">
        <is>
          <t>Intern Software Engineer</t>
        </is>
      </c>
      <c r="B87" s="6" t="inlineStr">
        <is>
          <t>Hayden AI</t>
        </is>
      </c>
      <c r="C87" s="7" t="inlineStr">
        <is>
          <t>2026-03-10</t>
        </is>
      </c>
      <c r="D87" s="7" t="n">
        <v>4</v>
      </c>
      <c r="E87" s="7" t="inlineStr"/>
      <c r="F87" s="19" t="n">
        <v>9</v>
      </c>
      <c r="G87" s="7" t="inlineStr">
        <is>
          <t>Simplify</t>
        </is>
      </c>
      <c r="H87" s="6" t="inlineStr">
        <is>
          <t>SF</t>
        </is>
      </c>
      <c r="I87" s="9">
        <f>HYPERLINK("https://jobs.ashbyhq.com/haydenai/0e567d78-e519-486c-9136-bc3eda60954d/application","Open")</f>
        <v/>
      </c>
      <c r="J87" s="7" t="inlineStr">
        <is>
          <t>No</t>
        </is>
      </c>
      <c r="K87" s="7" t="inlineStr"/>
      <c r="L87" s="6" t="inlineStr"/>
      <c r="M87" s="6" t="inlineStr"/>
      <c r="N87" s="6" t="inlineStr"/>
      <c r="O87" s="6" t="inlineStr"/>
    </row>
    <row r="88">
      <c r="A88" s="10" t="inlineStr">
        <is>
          <t>Intern - Software Engineering - Firmware</t>
        </is>
      </c>
      <c r="B88" s="10" t="inlineStr">
        <is>
          <t>Western Digital</t>
        </is>
      </c>
      <c r="C88" s="11" t="inlineStr">
        <is>
          <t>2026-03-10</t>
        </is>
      </c>
      <c r="D88" s="11" t="n">
        <v>4</v>
      </c>
      <c r="E88" s="11" t="inlineStr">
        <is>
          <t>CA</t>
        </is>
      </c>
      <c r="F88" s="21" t="n">
        <v>16</v>
      </c>
      <c r="G88" s="11" t="inlineStr">
        <is>
          <t>Simplify</t>
        </is>
      </c>
      <c r="H88" s="10" t="inlineStr">
        <is>
          <t>San Jose, CA</t>
        </is>
      </c>
      <c r="I88" s="13">
        <f>HYPERLINK("https://jobs.smartrecruiters.com/WesternDigital/744000113755157","Open")</f>
        <v/>
      </c>
      <c r="J88" s="11" t="inlineStr">
        <is>
          <t>No</t>
        </is>
      </c>
      <c r="K88" s="11" t="inlineStr"/>
      <c r="L88" s="10" t="inlineStr"/>
      <c r="M88" s="10" t="inlineStr"/>
      <c r="N88" s="10" t="inlineStr"/>
      <c r="O88" s="10" t="inlineStr"/>
    </row>
    <row r="89">
      <c r="A89" s="14" t="inlineStr">
        <is>
          <t>AI Agent Developer – Intern</t>
        </is>
      </c>
      <c r="B89" s="14" t="inlineStr">
        <is>
          <t xml:space="preserve">S&amp;P Global </t>
        </is>
      </c>
      <c r="C89" s="15" t="inlineStr">
        <is>
          <t>2026-03-10</t>
        </is>
      </c>
      <c r="D89" s="15" t="n">
        <v>4</v>
      </c>
      <c r="E89" s="15" t="inlineStr">
        <is>
          <t>NJ</t>
        </is>
      </c>
      <c r="F89" s="33" t="n">
        <v>4</v>
      </c>
      <c r="G89" s="15" t="inlineStr">
        <is>
          <t>Simplify</t>
        </is>
      </c>
      <c r="H89" s="14" t="inlineStr">
        <is>
          <t>Princeton, NJ</t>
        </is>
      </c>
      <c r="I89" s="17">
        <f>HYPERLINK("https://spgi.wd5.myworkdayjobs.com/en-US/SPGI_Careers/job/Princeton-NJ/AI-Agent-Developer--Summer-Intern_325750-1","Open")</f>
        <v/>
      </c>
      <c r="J89" s="15" t="inlineStr">
        <is>
          <t>No</t>
        </is>
      </c>
      <c r="K89" s="15" t="inlineStr"/>
      <c r="L89" s="14" t="inlineStr"/>
      <c r="M89" s="14" t="inlineStr"/>
      <c r="N89" s="14" t="inlineStr"/>
      <c r="O89" s="14" t="inlineStr"/>
    </row>
    <row r="90">
      <c r="A90" s="10" t="inlineStr">
        <is>
          <t>Software Programmer Intern</t>
        </is>
      </c>
      <c r="B90" s="10" t="inlineStr">
        <is>
          <t>Amentum</t>
        </is>
      </c>
      <c r="C90" s="11" t="inlineStr">
        <is>
          <t>2026-03-10</t>
        </is>
      </c>
      <c r="D90" s="11" t="n">
        <v>4</v>
      </c>
      <c r="E90" s="11" t="inlineStr">
        <is>
          <t>MI</t>
        </is>
      </c>
      <c r="F90" s="18" t="n">
        <v>5</v>
      </c>
      <c r="G90" s="11" t="inlineStr">
        <is>
          <t>Simplify</t>
        </is>
      </c>
      <c r="H90" s="10" t="inlineStr">
        <is>
          <t>Detroit, MI</t>
        </is>
      </c>
      <c r="I90" s="13">
        <f>HYPERLINK("https://pae.wd1.myworkdayjobs.com/en-US/amentum_careers/job/US-MI-Detroit/Software-Programmer-Intern_R0156070","Open")</f>
        <v/>
      </c>
      <c r="J90" s="11" t="inlineStr">
        <is>
          <t>No</t>
        </is>
      </c>
      <c r="K90" s="11" t="inlineStr"/>
      <c r="L90" s="10" t="inlineStr"/>
      <c r="M90" s="10" t="inlineStr"/>
      <c r="N90" s="10" t="inlineStr"/>
      <c r="O90" s="10" t="inlineStr"/>
    </row>
    <row r="91">
      <c r="A91" s="6" t="inlineStr">
        <is>
          <t>Software Engineer Intern</t>
        </is>
      </c>
      <c r="B91" s="6" t="inlineStr">
        <is>
          <t>Copart</t>
        </is>
      </c>
      <c r="C91" s="7" t="inlineStr">
        <is>
          <t>2026-03-10</t>
        </is>
      </c>
      <c r="D91" s="7" t="n">
        <v>4</v>
      </c>
      <c r="E91" s="7" t="inlineStr">
        <is>
          <t>TX</t>
        </is>
      </c>
      <c r="F91" s="19" t="n">
        <v>7</v>
      </c>
      <c r="G91" s="7" t="inlineStr">
        <is>
          <t>Simplify</t>
        </is>
      </c>
      <c r="H91" s="6" t="inlineStr">
        <is>
          <t>Dallas, TX</t>
        </is>
      </c>
      <c r="I91" s="9">
        <f>HYPERLINK("https://copart.wd12.myworkdayjobs.com/copart/job/Dallas-TX---Headquarters/Software-Engineering-Intern_JR107700","Open")</f>
        <v/>
      </c>
      <c r="J91" s="7" t="inlineStr">
        <is>
          <t>No</t>
        </is>
      </c>
      <c r="K91" s="7" t="inlineStr"/>
      <c r="L91" s="6" t="inlineStr"/>
      <c r="M91" s="6" t="inlineStr"/>
      <c r="N91" s="6" t="inlineStr"/>
      <c r="O91" s="6" t="inlineStr"/>
    </row>
    <row r="92">
      <c r="A92" s="10" t="inlineStr">
        <is>
          <t>Software Engineering Intern</t>
        </is>
      </c>
      <c r="B92" s="10" t="inlineStr">
        <is>
          <t>Copart</t>
        </is>
      </c>
      <c r="C92" s="11" t="inlineStr">
        <is>
          <t>2026-03-10</t>
        </is>
      </c>
      <c r="D92" s="11" t="n">
        <v>4</v>
      </c>
      <c r="E92" s="11" t="inlineStr">
        <is>
          <t>TX</t>
        </is>
      </c>
      <c r="F92" s="21" t="n">
        <v>11</v>
      </c>
      <c r="G92" s="11" t="inlineStr">
        <is>
          <t>Simplify</t>
        </is>
      </c>
      <c r="H92" s="10" t="inlineStr">
        <is>
          <t>Dallas, TX</t>
        </is>
      </c>
      <c r="I92" s="13">
        <f>HYPERLINK("https://copart.wd12.myworkdayjobs.com/copart/job/Dallas-TX---Headquarters/Software-Engineering-Intern_JR107699","Open")</f>
        <v/>
      </c>
      <c r="J92" s="11" t="inlineStr">
        <is>
          <t>No</t>
        </is>
      </c>
      <c r="K92" s="11" t="inlineStr"/>
      <c r="L92" s="10" t="inlineStr"/>
      <c r="M92" s="10" t="inlineStr"/>
      <c r="N92" s="10" t="inlineStr"/>
      <c r="O92" s="10" t="inlineStr"/>
    </row>
    <row r="93">
      <c r="A93" s="22" t="inlineStr">
        <is>
          <t>Forward Deployed Software Engineer Intern</t>
        </is>
      </c>
      <c r="B93" s="22" t="inlineStr">
        <is>
          <t>Palantir</t>
        </is>
      </c>
      <c r="C93" s="23" t="inlineStr">
        <is>
          <t>2026-03-10</t>
        </is>
      </c>
      <c r="D93" s="23" t="n">
        <v>4</v>
      </c>
      <c r="E93" s="23" t="inlineStr">
        <is>
          <t>NY</t>
        </is>
      </c>
      <c r="F93" s="24" t="n">
        <v>7</v>
      </c>
      <c r="G93" s="23" t="inlineStr">
        <is>
          <t>Simplify</t>
        </is>
      </c>
      <c r="H93" s="22" t="inlineStr">
        <is>
          <t>NYC</t>
        </is>
      </c>
      <c r="I93" s="25">
        <f>HYPERLINK("https://jobs.lever.co/palantir/ac0dc094-2480-43c2-8495-26ade227ff4f/apply","Open")</f>
        <v/>
      </c>
      <c r="J93" s="23" t="inlineStr">
        <is>
          <t>No</t>
        </is>
      </c>
      <c r="K93" s="23" t="inlineStr"/>
      <c r="L93" s="22" t="inlineStr"/>
      <c r="M93" s="22" t="inlineStr"/>
      <c r="N93" s="22" t="inlineStr"/>
      <c r="O93" s="22" t="inlineStr"/>
    </row>
    <row r="94">
      <c r="A94" s="10" t="inlineStr">
        <is>
          <t>Intern - Software Engineering - Firmware</t>
        </is>
      </c>
      <c r="B94" s="10" t="inlineStr">
        <is>
          <t>Western Digital</t>
        </is>
      </c>
      <c r="C94" s="11" t="inlineStr">
        <is>
          <t>2026-03-10</t>
        </is>
      </c>
      <c r="D94" s="11" t="n">
        <v>5</v>
      </c>
      <c r="E94" s="11" t="inlineStr">
        <is>
          <t>CA</t>
        </is>
      </c>
      <c r="F94" s="21" t="n">
        <v>16</v>
      </c>
      <c r="G94" s="11" t="inlineStr">
        <is>
          <t>Simplify</t>
        </is>
      </c>
      <c r="H94" s="10" t="inlineStr">
        <is>
          <t>San Jose, CA</t>
        </is>
      </c>
      <c r="I94" s="13">
        <f>HYPERLINK("https://jobs.smartrecruiters.com/WesternDigital/744000113629548","Open")</f>
        <v/>
      </c>
      <c r="J94" s="11" t="inlineStr">
        <is>
          <t>No</t>
        </is>
      </c>
      <c r="K94" s="11" t="inlineStr"/>
      <c r="L94" s="10" t="inlineStr"/>
      <c r="M94" s="10" t="inlineStr"/>
      <c r="N94" s="10" t="inlineStr"/>
      <c r="O94" s="10" t="inlineStr"/>
    </row>
    <row r="95">
      <c r="A95" s="6" t="inlineStr">
        <is>
          <t>Embedded Firmware Engineer Intern</t>
        </is>
      </c>
      <c r="B95" s="6" t="inlineStr">
        <is>
          <t>Trackonomy</t>
        </is>
      </c>
      <c r="C95" s="7" t="inlineStr">
        <is>
          <t>2026-03-10</t>
        </is>
      </c>
      <c r="D95" s="7" t="n">
        <v>5</v>
      </c>
      <c r="E95" s="7" t="inlineStr">
        <is>
          <t>CA</t>
        </is>
      </c>
      <c r="F95" s="20" t="n">
        <v>10</v>
      </c>
      <c r="G95" s="7" t="inlineStr">
        <is>
          <t>Simplify</t>
        </is>
      </c>
      <c r="H95" s="6" t="inlineStr">
        <is>
          <t>San Jose, CA</t>
        </is>
      </c>
      <c r="I95" s="9">
        <f>HYPERLINK("https://trackonomysystems.com/career-details/?gh_jid=5822643004","Open")</f>
        <v/>
      </c>
      <c r="J95" s="7" t="inlineStr">
        <is>
          <t>No</t>
        </is>
      </c>
      <c r="K95" s="7" t="inlineStr"/>
      <c r="L95" s="6" t="inlineStr"/>
      <c r="M95" s="6" t="inlineStr"/>
      <c r="N95" s="6" t="inlineStr"/>
      <c r="O95" s="6" t="inlineStr"/>
    </row>
    <row r="96">
      <c r="A96" s="10" t="inlineStr">
        <is>
          <t>FPGA Intern</t>
        </is>
      </c>
      <c r="B96" s="10" t="inlineStr">
        <is>
          <t>Taara</t>
        </is>
      </c>
      <c r="C96" s="11" t="inlineStr">
        <is>
          <t>2026-03-09</t>
        </is>
      </c>
      <c r="D96" s="11" t="n">
        <v>5</v>
      </c>
      <c r="E96" s="11" t="inlineStr">
        <is>
          <t>CA</t>
        </is>
      </c>
      <c r="F96" s="18" t="n">
        <v>4</v>
      </c>
      <c r="G96" s="11" t="inlineStr">
        <is>
          <t>Simplify</t>
        </is>
      </c>
      <c r="H96" s="10" t="inlineStr">
        <is>
          <t>Sunnyvale, CA</t>
        </is>
      </c>
      <c r="I96" s="13">
        <f>HYPERLINK("https://jobs.ashbyhq.com/taaraconnect/9d46074e-4fa8-44ce-9b2e-59296f6bf2e9/application","Open")</f>
        <v/>
      </c>
      <c r="J96" s="11" t="inlineStr">
        <is>
          <t>No</t>
        </is>
      </c>
      <c r="K96" s="11" t="inlineStr"/>
      <c r="L96" s="10" t="inlineStr"/>
      <c r="M96" s="10" t="inlineStr"/>
      <c r="N96" s="10" t="inlineStr"/>
      <c r="O96" s="10" t="inlineStr"/>
    </row>
    <row r="97">
      <c r="A97" s="6" t="inlineStr">
        <is>
          <t>Computer Vision AI Intern</t>
        </is>
      </c>
      <c r="B97" s="6" t="inlineStr">
        <is>
          <t>Magna International</t>
        </is>
      </c>
      <c r="C97" s="7" t="inlineStr">
        <is>
          <t>2026-03-09</t>
        </is>
      </c>
      <c r="D97" s="7" t="n">
        <v>5</v>
      </c>
      <c r="E97" s="7" t="inlineStr">
        <is>
          <t>MI</t>
        </is>
      </c>
      <c r="F97" s="8" t="n">
        <v>5</v>
      </c>
      <c r="G97" s="7" t="inlineStr">
        <is>
          <t>Simplify</t>
        </is>
      </c>
      <c r="H97" s="6" t="inlineStr">
        <is>
          <t>Troy, MI</t>
        </is>
      </c>
      <c r="I97" s="9">
        <f>HYPERLINK("https://magna.wd3.myworkdayjobs.com/Magna/job/Troy-Michigan-US/Computer-Vision--AI-Intern--R-D-Summer-2026_R00232831-1","Open")</f>
        <v/>
      </c>
      <c r="J97" s="7" t="inlineStr">
        <is>
          <t>No</t>
        </is>
      </c>
      <c r="K97" s="7" t="inlineStr"/>
      <c r="L97" s="6" t="inlineStr"/>
      <c r="M97" s="6" t="inlineStr"/>
      <c r="N97" s="6" t="inlineStr"/>
      <c r="O97" s="6" t="inlineStr"/>
    </row>
    <row r="98">
      <c r="A98" s="10" t="inlineStr">
        <is>
          <t>Intern – IT - Software Engineer</t>
        </is>
      </c>
      <c r="B98" s="10" t="inlineStr">
        <is>
          <t>CoxHealth</t>
        </is>
      </c>
      <c r="C98" s="11" t="inlineStr">
        <is>
          <t>2026-03-09</t>
        </is>
      </c>
      <c r="D98" s="11" t="n">
        <v>5</v>
      </c>
      <c r="E98" s="11" t="inlineStr"/>
      <c r="F98" s="12" t="n">
        <v>7</v>
      </c>
      <c r="G98" s="11" t="inlineStr">
        <is>
          <t>Simplify</t>
        </is>
      </c>
      <c r="H98" s="10" t="inlineStr">
        <is>
          <t>Springfield, MO</t>
        </is>
      </c>
      <c r="I98" s="13">
        <f>HYPERLINK("https://coxhealth.wd5.myworkdayjobs.com/CoxHealth_External/job/Springfield-MO/Intern---IT---Identity-Management_R13933","Open")</f>
        <v/>
      </c>
      <c r="J98" s="11" t="inlineStr">
        <is>
          <t>No</t>
        </is>
      </c>
      <c r="K98" s="11" t="inlineStr"/>
      <c r="L98" s="10" t="inlineStr"/>
      <c r="M98" s="10" t="inlineStr"/>
      <c r="N98" s="10" t="inlineStr"/>
      <c r="O98" s="10" t="inlineStr"/>
    </row>
    <row r="99">
      <c r="A99" s="6" t="inlineStr">
        <is>
          <t>Software Engineer Intern</t>
        </is>
      </c>
      <c r="B99" s="6" t="inlineStr">
        <is>
          <t>Schweitzer Engineering Laboratories</t>
        </is>
      </c>
      <c r="C99" s="7" t="inlineStr">
        <is>
          <t>2026-03-09</t>
        </is>
      </c>
      <c r="D99" s="7" t="n">
        <v>5</v>
      </c>
      <c r="E99" s="7" t="inlineStr"/>
      <c r="F99" s="19" t="n">
        <v>7</v>
      </c>
      <c r="G99" s="7" t="inlineStr">
        <is>
          <t>Simplify</t>
        </is>
      </c>
      <c r="H99" s="6" t="inlineStr">
        <is>
          <t>Moscow, ID</t>
        </is>
      </c>
      <c r="I99" s="9">
        <f>HYPERLINK("https://selinc.wd1.myworkdayjobs.com/SEL/job/Washington---Pullman/Software-Engineer-Intern_2025-18373","Open")</f>
        <v/>
      </c>
      <c r="J99" s="7" t="inlineStr">
        <is>
          <t>No</t>
        </is>
      </c>
      <c r="K99" s="7" t="inlineStr"/>
      <c r="L99" s="6" t="inlineStr"/>
      <c r="M99" s="6" t="inlineStr"/>
      <c r="N99" s="6" t="inlineStr"/>
      <c r="O99" s="6" t="inlineStr"/>
    </row>
    <row r="100">
      <c r="A100" s="10" t="inlineStr">
        <is>
          <t>Millennium Space Systems Intern Program – Data Engineer Intern</t>
        </is>
      </c>
      <c r="B100" s="10" t="inlineStr">
        <is>
          <t>The Boeing Company</t>
        </is>
      </c>
      <c r="C100" s="11" t="inlineStr">
        <is>
          <t>2026-03-09</t>
        </is>
      </c>
      <c r="D100" s="11" t="n">
        <v>5</v>
      </c>
      <c r="E100" s="11" t="inlineStr">
        <is>
          <t>CA</t>
        </is>
      </c>
      <c r="F100" s="12" t="n">
        <v>7</v>
      </c>
      <c r="G100" s="11" t="inlineStr">
        <is>
          <t>Simplify</t>
        </is>
      </c>
      <c r="H100" s="10" t="inlineStr">
        <is>
          <t>El Segundo, CA</t>
        </is>
      </c>
      <c r="I100" s="13">
        <f>HYPERLINK("https://boeing.wd1.myworkdayjobs.com/EXTERNAL_CAREERS/job/USA---El-Segundo-CA/Millennium-Space-Systems-Summer-2026-Internship-Program---Data-Engineer-Intern_JR2026499816-1","Open")</f>
        <v/>
      </c>
      <c r="J100" s="11" t="inlineStr">
        <is>
          <t>No</t>
        </is>
      </c>
      <c r="K100" s="11" t="inlineStr"/>
      <c r="L100" s="10" t="inlineStr"/>
      <c r="M100" s="10" t="inlineStr"/>
      <c r="N100" s="10" t="inlineStr"/>
      <c r="O100" s="10" t="inlineStr"/>
    </row>
    <row r="101">
      <c r="A101" s="6" t="inlineStr">
        <is>
          <t>Software Developer Intern</t>
        </is>
      </c>
      <c r="B101" s="6" t="inlineStr">
        <is>
          <t>AssetWorks</t>
        </is>
      </c>
      <c r="C101" s="7" t="inlineStr">
        <is>
          <t>2026-03-09</t>
        </is>
      </c>
      <c r="D101" s="7" t="n">
        <v>5</v>
      </c>
      <c r="E101" s="7" t="inlineStr">
        <is>
          <t>CA</t>
        </is>
      </c>
      <c r="F101" s="8" t="n">
        <v>5</v>
      </c>
      <c r="G101" s="7" t="inlineStr">
        <is>
          <t>Simplify</t>
        </is>
      </c>
      <c r="H101" s="6" t="inlineStr">
        <is>
          <t>Calgary, AB, Canada</t>
        </is>
      </c>
      <c r="I101" s="9">
        <f>HYPERLINK("https://volarisgroup.wd3.myworkdayjobs.com/AssetWorks/job/Canada---Calgary-AB/Software-Developer-Intern_R60050","Open")</f>
        <v/>
      </c>
      <c r="J101" s="7" t="inlineStr">
        <is>
          <t>No</t>
        </is>
      </c>
      <c r="K101" s="7" t="inlineStr"/>
      <c r="L101" s="6" t="inlineStr"/>
      <c r="M101" s="6" t="inlineStr"/>
      <c r="N101" s="6" t="inlineStr"/>
      <c r="O101" s="6" t="inlineStr"/>
    </row>
    <row r="102">
      <c r="A102" s="10" t="inlineStr">
        <is>
          <t>Software Programmer Intern</t>
        </is>
      </c>
      <c r="B102" s="10" t="inlineStr">
        <is>
          <t>Amentum</t>
        </is>
      </c>
      <c r="C102" s="11" t="inlineStr">
        <is>
          <t>2026-03-09</t>
        </is>
      </c>
      <c r="D102" s="11" t="n">
        <v>5</v>
      </c>
      <c r="E102" s="11" t="inlineStr"/>
      <c r="F102" s="18" t="n">
        <v>5</v>
      </c>
      <c r="G102" s="11" t="inlineStr">
        <is>
          <t>Simplify</t>
        </is>
      </c>
      <c r="H102" s="10" t="inlineStr">
        <is>
          <t>Tullahoma, TN</t>
        </is>
      </c>
      <c r="I102" s="13">
        <f>HYPERLINK("https://pae.wd1.myworkdayjobs.com/en-US/amentum_careers/job/US-TN-Tullahoma/Software-Programmer-Intern_R0155989","Open")</f>
        <v/>
      </c>
      <c r="J102" s="11" t="inlineStr">
        <is>
          <t>No</t>
        </is>
      </c>
      <c r="K102" s="11" t="inlineStr"/>
      <c r="L102" s="10" t="inlineStr"/>
      <c r="M102" s="10" t="inlineStr"/>
      <c r="N102" s="10" t="inlineStr"/>
      <c r="O102" s="10" t="inlineStr"/>
    </row>
    <row r="103">
      <c r="A103" s="6" t="inlineStr">
        <is>
          <t>Millennium Space Systems Intern Program – Data Engineer Intern</t>
        </is>
      </c>
      <c r="B103" s="6" t="inlineStr">
        <is>
          <t>The Boeing Company</t>
        </is>
      </c>
      <c r="C103" s="7" t="inlineStr">
        <is>
          <t>2026-03-09</t>
        </is>
      </c>
      <c r="D103" s="7" t="n">
        <v>5</v>
      </c>
      <c r="E103" s="7" t="inlineStr">
        <is>
          <t>CA</t>
        </is>
      </c>
      <c r="F103" s="19" t="n">
        <v>7</v>
      </c>
      <c r="G103" s="7" t="inlineStr">
        <is>
          <t>Simplify</t>
        </is>
      </c>
      <c r="H103" s="6" t="inlineStr">
        <is>
          <t>El Segundo, CA</t>
        </is>
      </c>
      <c r="I103" s="9">
        <f>HYPERLINK("https://boeing.wd1.myworkdayjobs.com/INTERN/job/USA---El-Segundo-CA/Millennium-Space-Systems-Summer-2026-Internship-Program---Data-Engineer-Intern_JR2026499816","Open")</f>
        <v/>
      </c>
      <c r="J103" s="7" t="inlineStr">
        <is>
          <t>No</t>
        </is>
      </c>
      <c r="K103" s="7" t="inlineStr"/>
      <c r="L103" s="6" t="inlineStr"/>
      <c r="M103" s="6" t="inlineStr"/>
      <c r="N103" s="6" t="inlineStr"/>
      <c r="O103" s="6" t="inlineStr"/>
    </row>
    <row r="104">
      <c r="A104" s="10" t="inlineStr">
        <is>
          <t>Machine Learning Intern</t>
        </is>
      </c>
      <c r="B104" s="10" t="inlineStr">
        <is>
          <t>zaimler</t>
        </is>
      </c>
      <c r="C104" s="11" t="inlineStr">
        <is>
          <t>2026-03-09</t>
        </is>
      </c>
      <c r="D104" s="11" t="n">
        <v>5</v>
      </c>
      <c r="E104" s="11" t="inlineStr">
        <is>
          <t>CA</t>
        </is>
      </c>
      <c r="F104" s="18" t="n">
        <v>5</v>
      </c>
      <c r="G104" s="11" t="inlineStr">
        <is>
          <t>Simplify</t>
        </is>
      </c>
      <c r="H104" s="10" t="inlineStr">
        <is>
          <t>San Mateo, CA</t>
        </is>
      </c>
      <c r="I104" s="13">
        <f>HYPERLINK("https://jobs.lever.co/zaimler/40b48a77-bdd2-470f-8762-559e0a7709d2/apply","Open")</f>
        <v/>
      </c>
      <c r="J104" s="11" t="inlineStr">
        <is>
          <t>No</t>
        </is>
      </c>
      <c r="K104" s="11" t="inlineStr"/>
      <c r="L104" s="10" t="inlineStr"/>
      <c r="M104" s="10" t="inlineStr"/>
      <c r="N104" s="10" t="inlineStr"/>
      <c r="O104" s="10" t="inlineStr"/>
    </row>
    <row r="105">
      <c r="A105" s="6" t="inlineStr">
        <is>
          <t>Digital Technology Co-op</t>
        </is>
      </c>
      <c r="B105" s="6" t="inlineStr">
        <is>
          <t>GE Aerospace</t>
        </is>
      </c>
      <c r="C105" s="7" t="inlineStr">
        <is>
          <t>2026-03-09</t>
        </is>
      </c>
      <c r="D105" s="7" t="n">
        <v>5</v>
      </c>
      <c r="E105" s="7" t="inlineStr">
        <is>
          <t>OH</t>
        </is>
      </c>
      <c r="F105" s="8" t="n">
        <v>4</v>
      </c>
      <c r="G105" s="7" t="inlineStr">
        <is>
          <t>Simplify</t>
        </is>
      </c>
      <c r="H105" s="6" t="inlineStr">
        <is>
          <t>Sharonville, OH, Livonia, MI</t>
        </is>
      </c>
      <c r="I105" s="9">
        <f>HYPERLINK("https://geaerospace.wd5.myworkdayjobs.com/ge_externalsite/job/Evendale/Digital-Technology-Co-op---US---Spring-2027---Returning-Students_R5030091-1","Open")</f>
        <v/>
      </c>
      <c r="J105" s="7" t="inlineStr">
        <is>
          <t>No</t>
        </is>
      </c>
      <c r="K105" s="7" t="inlineStr"/>
      <c r="L105" s="6" t="inlineStr"/>
      <c r="M105" s="6" t="inlineStr"/>
      <c r="N105" s="6" t="inlineStr"/>
      <c r="O105" s="6" t="inlineStr"/>
    </row>
    <row r="106">
      <c r="A106" s="10" t="inlineStr">
        <is>
          <t>Engines Engineering Intern - Computer or Software Engineering - Returning Students</t>
        </is>
      </c>
      <c r="B106" s="10" t="inlineStr">
        <is>
          <t>GE Aerospace</t>
        </is>
      </c>
      <c r="C106" s="11" t="inlineStr">
        <is>
          <t>2026-03-09</t>
        </is>
      </c>
      <c r="D106" s="11" t="n">
        <v>5</v>
      </c>
      <c r="E106" s="11" t="inlineStr">
        <is>
          <t>MA</t>
        </is>
      </c>
      <c r="F106" s="21" t="n">
        <v>15</v>
      </c>
      <c r="G106" s="11" t="inlineStr">
        <is>
          <t>Simplify</t>
        </is>
      </c>
      <c r="H106" s="10" t="inlineStr">
        <is>
          <t>Sharonville, OH, Saugus, MA</t>
        </is>
      </c>
      <c r="I106" s="13">
        <f>HYPERLINK("https://geaerospace.wd5.myworkdayjobs.com/ge_externalsite/job/Evendale/Engines-Engineering-Intern---Computer-or-Software-Engineering---US---Summer-2027---Returning-Students_R5030074-1","Open")</f>
        <v/>
      </c>
      <c r="J106" s="11" t="inlineStr">
        <is>
          <t>No</t>
        </is>
      </c>
      <c r="K106" s="11" t="inlineStr"/>
      <c r="L106" s="10" t="inlineStr"/>
      <c r="M106" s="10" t="inlineStr"/>
      <c r="N106" s="10" t="inlineStr"/>
      <c r="O106" s="10" t="inlineStr"/>
    </row>
    <row r="107">
      <c r="A107" s="6" t="inlineStr">
        <is>
          <t>Digital Technology Co-op - Returning Students</t>
        </is>
      </c>
      <c r="B107" s="6" t="inlineStr">
        <is>
          <t>GE Aerospace</t>
        </is>
      </c>
      <c r="C107" s="7" t="inlineStr">
        <is>
          <t>2026-03-09</t>
        </is>
      </c>
      <c r="D107" s="7" t="n">
        <v>5</v>
      </c>
      <c r="E107" s="7" t="inlineStr">
        <is>
          <t>OH</t>
        </is>
      </c>
      <c r="F107" s="8" t="n">
        <v>4</v>
      </c>
      <c r="G107" s="7" t="inlineStr">
        <is>
          <t>Simplify</t>
        </is>
      </c>
      <c r="H107" s="6" t="inlineStr">
        <is>
          <t>Sharonville, OH, Livonia, MI</t>
        </is>
      </c>
      <c r="I107" s="9">
        <f>HYPERLINK("https://geaerospace.wd5.myworkdayjobs.com/ge_externalsite/job/Evendale/Digital-Technology-Co-op---US---Fall-2027---Returning-Students_R5030093-1","Open")</f>
        <v/>
      </c>
      <c r="J107" s="7" t="inlineStr">
        <is>
          <t>No</t>
        </is>
      </c>
      <c r="K107" s="7" t="inlineStr"/>
      <c r="L107" s="6" t="inlineStr"/>
      <c r="M107" s="6" t="inlineStr"/>
      <c r="N107" s="6" t="inlineStr"/>
      <c r="O107" s="6" t="inlineStr"/>
    </row>
    <row r="108">
      <c r="A108" s="10" t="inlineStr">
        <is>
          <t>PhD Autonomy Engineer Intern - Deep Learning or Computer Vision</t>
        </is>
      </c>
      <c r="B108" s="10" t="inlineStr">
        <is>
          <t>Skydio</t>
        </is>
      </c>
      <c r="C108" s="11" t="inlineStr">
        <is>
          <t>2026-03-09</t>
        </is>
      </c>
      <c r="D108" s="11" t="n">
        <v>5</v>
      </c>
      <c r="E108" s="11" t="inlineStr">
        <is>
          <t>CA</t>
        </is>
      </c>
      <c r="F108" s="12" t="n">
        <v>7</v>
      </c>
      <c r="G108" s="11" t="inlineStr">
        <is>
          <t>Simplify</t>
        </is>
      </c>
      <c r="H108" s="10" t="inlineStr">
        <is>
          <t>San Mateo, CA</t>
        </is>
      </c>
      <c r="I108" s="13">
        <f>HYPERLINK("https://jobs.ashbyhq.com/skydio/8d3979a8-c791-4825-8cf4-9b25479b9519/application","Open")</f>
        <v/>
      </c>
      <c r="J108" s="11" t="inlineStr">
        <is>
          <t>No</t>
        </is>
      </c>
      <c r="K108" s="11" t="inlineStr"/>
      <c r="L108" s="10" t="inlineStr"/>
      <c r="M108" s="10" t="inlineStr"/>
      <c r="N108" s="10" t="inlineStr"/>
      <c r="O108" s="10" t="inlineStr"/>
    </row>
    <row r="109">
      <c r="A109" s="6" t="inlineStr">
        <is>
          <t>Software Engineer – Application Development Co-op</t>
        </is>
      </c>
      <c r="B109" s="6" t="inlineStr">
        <is>
          <t>Bracebridge Capital</t>
        </is>
      </c>
      <c r="C109" s="7" t="inlineStr">
        <is>
          <t>2026-03-09</t>
        </is>
      </c>
      <c r="D109" s="7" t="n">
        <v>5</v>
      </c>
      <c r="E109" s="7" t="inlineStr">
        <is>
          <t>MA</t>
        </is>
      </c>
      <c r="F109" s="19" t="n">
        <v>7</v>
      </c>
      <c r="G109" s="7" t="inlineStr">
        <is>
          <t>Simplify</t>
        </is>
      </c>
      <c r="H109" s="6" t="inlineStr">
        <is>
          <t>Boston, MA</t>
        </is>
      </c>
      <c r="I109" s="9">
        <f>HYPERLINK("https://job-boards.greenhouse.io/bracebridgecapital/jobs/4671008005","Open")</f>
        <v/>
      </c>
      <c r="J109" s="7" t="inlineStr">
        <is>
          <t>No</t>
        </is>
      </c>
      <c r="K109" s="7" t="inlineStr"/>
      <c r="L109" s="6" t="inlineStr"/>
      <c r="M109" s="6" t="inlineStr"/>
      <c r="N109" s="6" t="inlineStr"/>
      <c r="O109" s="6" t="inlineStr"/>
    </row>
    <row r="110">
      <c r="A110" s="10" t="inlineStr">
        <is>
          <t>Computer Vision AI Intern</t>
        </is>
      </c>
      <c r="B110" s="10" t="inlineStr">
        <is>
          <t>Magna</t>
        </is>
      </c>
      <c r="C110" s="11" t="inlineStr">
        <is>
          <t>2026-03-09</t>
        </is>
      </c>
      <c r="D110" s="11" t="n">
        <v>5</v>
      </c>
      <c r="E110" s="11" t="inlineStr">
        <is>
          <t>MI</t>
        </is>
      </c>
      <c r="F110" s="18" t="n">
        <v>5</v>
      </c>
      <c r="G110" s="11" t="inlineStr">
        <is>
          <t>Simplify</t>
        </is>
      </c>
      <c r="H110" s="10" t="inlineStr">
        <is>
          <t>Troy, MI</t>
        </is>
      </c>
      <c r="I110" s="13">
        <f>HYPERLINK("https://wd3.myworkdaysite.com/recruiting/magna/Magna/job/Troy-Michigan-US/Computer-Vision--AI-Intern--R-D-Summer-2026_R00232831-1","Open")</f>
        <v/>
      </c>
      <c r="J110" s="11" t="inlineStr">
        <is>
          <t>No</t>
        </is>
      </c>
      <c r="K110" s="11" t="inlineStr"/>
      <c r="L110" s="10" t="inlineStr"/>
      <c r="M110" s="10" t="inlineStr"/>
      <c r="N110" s="10" t="inlineStr"/>
      <c r="O110" s="10" t="inlineStr"/>
    </row>
    <row r="111">
      <c r="A111" s="6" t="inlineStr">
        <is>
          <t>Software Engineer - Intern - Perception</t>
        </is>
      </c>
      <c r="B111" s="6" t="inlineStr">
        <is>
          <t>AeroVect</t>
        </is>
      </c>
      <c r="C111" s="7" t="inlineStr">
        <is>
          <t>2026-03-09</t>
        </is>
      </c>
      <c r="D111" s="7" t="n">
        <v>5</v>
      </c>
      <c r="E111" s="7" t="inlineStr">
        <is>
          <t>CA</t>
        </is>
      </c>
      <c r="F111" s="19" t="n">
        <v>7</v>
      </c>
      <c r="G111" s="7" t="inlineStr">
        <is>
          <t>Simplify</t>
        </is>
      </c>
      <c r="H111" s="6" t="inlineStr">
        <is>
          <t>San Bruno, CA</t>
        </is>
      </c>
      <c r="I111" s="9">
        <f>HYPERLINK("https://jobs.ashbyhq.com/AeroVect/cb3ec12d-5f24-4047-bdc5-f262b60bd3ad/application","Open")</f>
        <v/>
      </c>
      <c r="J111" s="7" t="inlineStr">
        <is>
          <t>No</t>
        </is>
      </c>
      <c r="K111" s="7" t="inlineStr"/>
      <c r="L111" s="6" t="inlineStr"/>
      <c r="M111" s="6" t="inlineStr"/>
      <c r="N111" s="6" t="inlineStr"/>
      <c r="O111" s="6" t="inlineStr"/>
    </row>
    <row r="112">
      <c r="A112" s="10" t="inlineStr">
        <is>
          <t>Embedded Software Intern</t>
        </is>
      </c>
      <c r="B112" s="10" t="inlineStr">
        <is>
          <t>Analog Devices</t>
        </is>
      </c>
      <c r="C112" s="11" t="inlineStr">
        <is>
          <t>2026-03-09</t>
        </is>
      </c>
      <c r="D112" s="11" t="n">
        <v>5</v>
      </c>
      <c r="E112" s="11" t="inlineStr">
        <is>
          <t>TX</t>
        </is>
      </c>
      <c r="F112" s="21" t="n">
        <v>13</v>
      </c>
      <c r="G112" s="11" t="inlineStr">
        <is>
          <t>Simplify</t>
        </is>
      </c>
      <c r="H112" s="10" t="inlineStr">
        <is>
          <t>Austin, TX</t>
        </is>
      </c>
      <c r="I112" s="13">
        <f>HYPERLINK("https://analogdevices.wd1.myworkdayjobs.com/External/job/CLOSED-US-TX-Austin-N-Capital/Embedded-Software-Intern_R256367","Open")</f>
        <v/>
      </c>
      <c r="J112" s="11" t="inlineStr">
        <is>
          <t>No</t>
        </is>
      </c>
      <c r="K112" s="11" t="inlineStr"/>
      <c r="L112" s="10" t="inlineStr"/>
      <c r="M112" s="10" t="inlineStr"/>
      <c r="N112" s="10" t="inlineStr"/>
      <c r="O112" s="10" t="inlineStr"/>
    </row>
    <row r="113">
      <c r="A113" s="6" t="inlineStr">
        <is>
          <t>Software Engineer Intern</t>
        </is>
      </c>
      <c r="B113" s="6" t="inlineStr">
        <is>
          <t>LogicGate</t>
        </is>
      </c>
      <c r="C113" s="7" t="inlineStr">
        <is>
          <t>2026-03-09</t>
        </is>
      </c>
      <c r="D113" s="7" t="n">
        <v>5</v>
      </c>
      <c r="E113" s="7" t="inlineStr">
        <is>
          <t>IL</t>
        </is>
      </c>
      <c r="F113" s="19" t="n">
        <v>7</v>
      </c>
      <c r="G113" s="7" t="inlineStr">
        <is>
          <t>Simplify</t>
        </is>
      </c>
      <c r="H113" s="6" t="inlineStr">
        <is>
          <t>Chicago, IL</t>
        </is>
      </c>
      <c r="I113" s="9">
        <f>HYPERLINK("https://job-boards.greenhouse.io/logicgate/jobs/4671118005","Open")</f>
        <v/>
      </c>
      <c r="J113" s="7" t="inlineStr">
        <is>
          <t>No</t>
        </is>
      </c>
      <c r="K113" s="7" t="inlineStr"/>
      <c r="L113" s="6" t="inlineStr"/>
      <c r="M113" s="6" t="inlineStr"/>
      <c r="N113" s="6" t="inlineStr"/>
      <c r="O113" s="6" t="inlineStr"/>
    </row>
    <row r="114">
      <c r="A114" s="10" t="inlineStr">
        <is>
          <t>Software Engineer Intern</t>
        </is>
      </c>
      <c r="B114" s="10" t="inlineStr">
        <is>
          <t>Arrowstreet Capital</t>
        </is>
      </c>
      <c r="C114" s="11" t="inlineStr">
        <is>
          <t>2026-03-09</t>
        </is>
      </c>
      <c r="D114" s="11" t="n">
        <v>5</v>
      </c>
      <c r="E114" s="11" t="inlineStr">
        <is>
          <t>MA</t>
        </is>
      </c>
      <c r="F114" s="12" t="n">
        <v>7</v>
      </c>
      <c r="G114" s="11" t="inlineStr">
        <is>
          <t>Simplify</t>
        </is>
      </c>
      <c r="H114" s="10" t="inlineStr">
        <is>
          <t>Boston, MA</t>
        </is>
      </c>
      <c r="I114" s="13">
        <f>HYPERLINK("https://arrowstreetcapital.wd5.myworkdayjobs.com/Campus_Careers/job/Boston/Software-Engineer-Intern--Summer-2026_R1454","Open")</f>
        <v/>
      </c>
      <c r="J114" s="11" t="inlineStr">
        <is>
          <t>No</t>
        </is>
      </c>
      <c r="K114" s="11" t="inlineStr"/>
      <c r="L114" s="10" t="inlineStr"/>
      <c r="M114" s="10" t="inlineStr"/>
      <c r="N114" s="10" t="inlineStr"/>
      <c r="O114" s="10" t="inlineStr"/>
    </row>
    <row r="115">
      <c r="A115" s="6" t="inlineStr">
        <is>
          <t>Software Engineer Intern</t>
        </is>
      </c>
      <c r="B115" s="6" t="inlineStr">
        <is>
          <t>Teledyne</t>
        </is>
      </c>
      <c r="C115" s="7" t="inlineStr">
        <is>
          <t>2026-03-09</t>
        </is>
      </c>
      <c r="D115" s="7" t="n">
        <v>5</v>
      </c>
      <c r="E115" s="7" t="inlineStr"/>
      <c r="F115" s="19" t="n">
        <v>7</v>
      </c>
      <c r="G115" s="7" t="inlineStr">
        <is>
          <t>Simplify</t>
        </is>
      </c>
      <c r="H115" s="6" t="inlineStr">
        <is>
          <t>Huntsville, AL</t>
        </is>
      </c>
      <c r="I115" s="9">
        <f>HYPERLINK("https://flir.wd1.myworkdayjobs.com/flircareers/job/US---Huntsville-AL/Software-Engineer--Intern-_REQ33728","Open")</f>
        <v/>
      </c>
      <c r="J115" s="7" t="inlineStr">
        <is>
          <t>No</t>
        </is>
      </c>
      <c r="K115" s="7" t="inlineStr"/>
      <c r="L115" s="6" t="inlineStr"/>
      <c r="M115" s="6" t="inlineStr"/>
      <c r="N115" s="6" t="inlineStr"/>
      <c r="O115" s="6" t="inlineStr"/>
    </row>
    <row r="116">
      <c r="A116" s="10" t="inlineStr">
        <is>
          <t>Embedded Software Engineer Co-op</t>
        </is>
      </c>
      <c r="B116" s="10" t="inlineStr">
        <is>
          <t>Emerson Electric</t>
        </is>
      </c>
      <c r="C116" s="11" t="inlineStr">
        <is>
          <t>2026-03-09</t>
        </is>
      </c>
      <c r="D116" s="11" t="n">
        <v>5</v>
      </c>
      <c r="E116" s="11" t="inlineStr"/>
      <c r="F116" s="21" t="n">
        <v>19</v>
      </c>
      <c r="G116" s="11" t="inlineStr">
        <is>
          <t>Simplify</t>
        </is>
      </c>
      <c r="H116" s="10" t="inlineStr">
        <is>
          <t>Eden Prairie, MN</t>
        </is>
      </c>
      <c r="I116" s="13">
        <f>HYPERLINK("https://hdjq.fa.us2.oraclecloud.com/hcmUI/CandidateExperience/en/sites/CX_1/job/26002931","Open")</f>
        <v/>
      </c>
      <c r="J116" s="11" t="inlineStr">
        <is>
          <t>No</t>
        </is>
      </c>
      <c r="K116" s="11" t="inlineStr"/>
      <c r="L116" s="10" t="inlineStr"/>
      <c r="M116" s="10" t="inlineStr"/>
      <c r="N116" s="10" t="inlineStr"/>
      <c r="O116" s="10" t="inlineStr"/>
    </row>
    <row r="117">
      <c r="A117" s="6" t="inlineStr">
        <is>
          <t>Firmware Engineer Intern</t>
        </is>
      </c>
      <c r="B117" s="6" t="inlineStr">
        <is>
          <t>ASSA ABLOY</t>
        </is>
      </c>
      <c r="C117" s="7" t="inlineStr">
        <is>
          <t>2026-03-09</t>
        </is>
      </c>
      <c r="D117" s="7" t="n">
        <v>5</v>
      </c>
      <c r="E117" s="7" t="inlineStr">
        <is>
          <t>CT</t>
        </is>
      </c>
      <c r="F117" s="8" t="n">
        <v>5</v>
      </c>
      <c r="G117" s="7" t="inlineStr">
        <is>
          <t>Simplify</t>
        </is>
      </c>
      <c r="H117" s="6" t="inlineStr">
        <is>
          <t>New Haven, CT</t>
        </is>
      </c>
      <c r="I117" s="9">
        <f>HYPERLINK("https://assaabloy.jobs2web.com/job/New-Haven-Firmware-Engineer-Intern-CT-06511/1371726333/?ats=successfactors","Open")</f>
        <v/>
      </c>
      <c r="J117" s="7" t="inlineStr">
        <is>
          <t>No</t>
        </is>
      </c>
      <c r="K117" s="7" t="inlineStr"/>
      <c r="L117" s="6" t="inlineStr"/>
      <c r="M117" s="6" t="inlineStr"/>
      <c r="N117" s="6" t="inlineStr"/>
      <c r="O117" s="6" t="inlineStr"/>
    </row>
    <row r="118">
      <c r="A118" s="10" t="inlineStr">
        <is>
          <t>Engines Engineering Co-op - Computer or Software Engineering</t>
        </is>
      </c>
      <c r="B118" s="10" t="inlineStr">
        <is>
          <t>GE Aerospace</t>
        </is>
      </c>
      <c r="C118" s="11" t="inlineStr">
        <is>
          <t>2026-03-09</t>
        </is>
      </c>
      <c r="D118" s="11" t="n">
        <v>5</v>
      </c>
      <c r="E118" s="11" t="inlineStr">
        <is>
          <t>MA</t>
        </is>
      </c>
      <c r="F118" s="21" t="n">
        <v>15</v>
      </c>
      <c r="G118" s="11" t="inlineStr">
        <is>
          <t>Simplify</t>
        </is>
      </c>
      <c r="H118" s="10" t="inlineStr">
        <is>
          <t>Sharonville, OH, Saugus, MA</t>
        </is>
      </c>
      <c r="I118" s="13">
        <f>HYPERLINK("https://geaerospace.wd5.myworkdayjobs.com/ge_externalsite/job/Evendale/Engines-Engineering-Co-op---Computer-or-Software-Engineering---US---Spring-2027---Returning-Students_R5030073-1","Open")</f>
        <v/>
      </c>
      <c r="J118" s="11" t="inlineStr">
        <is>
          <t>No</t>
        </is>
      </c>
      <c r="K118" s="11" t="inlineStr"/>
      <c r="L118" s="10" t="inlineStr"/>
      <c r="M118" s="10" t="inlineStr"/>
      <c r="N118" s="10" t="inlineStr"/>
      <c r="O118" s="10" t="inlineStr"/>
    </row>
    <row r="119">
      <c r="A119" s="6" t="inlineStr">
        <is>
          <t>Digital Technology Co-op - Returning Students</t>
        </is>
      </c>
      <c r="B119" s="6" t="inlineStr">
        <is>
          <t>GE Aerospace</t>
        </is>
      </c>
      <c r="C119" s="7" t="inlineStr">
        <is>
          <t>2026-03-09</t>
        </is>
      </c>
      <c r="D119" s="7" t="n">
        <v>5</v>
      </c>
      <c r="E119" s="7" t="inlineStr">
        <is>
          <t>OH</t>
        </is>
      </c>
      <c r="F119" s="8" t="n">
        <v>4</v>
      </c>
      <c r="G119" s="7" t="inlineStr">
        <is>
          <t>Simplify</t>
        </is>
      </c>
      <c r="H119" s="6" t="inlineStr">
        <is>
          <t>Sharonville, OH, Livonia, MI</t>
        </is>
      </c>
      <c r="I119" s="9">
        <f>HYPERLINK("https://geaerospace.wd5.myworkdayjobs.com/ge_externalsite/job/Evendale/Digital-Technology-Co-op---US---Fall-2026---Returning-Students_R5030243-1","Open")</f>
        <v/>
      </c>
      <c r="J119" s="7" t="inlineStr">
        <is>
          <t>No</t>
        </is>
      </c>
      <c r="K119" s="7" t="inlineStr"/>
      <c r="L119" s="6" t="inlineStr"/>
      <c r="M119" s="6" t="inlineStr"/>
      <c r="N119" s="6" t="inlineStr"/>
      <c r="O119" s="6" t="inlineStr"/>
    </row>
    <row r="120">
      <c r="A120" s="10" t="inlineStr">
        <is>
          <t>Engines Engineering Co-op - Computer or Software Engineering</t>
        </is>
      </c>
      <c r="B120" s="10" t="inlineStr">
        <is>
          <t>GE Aerospace</t>
        </is>
      </c>
      <c r="C120" s="11" t="inlineStr">
        <is>
          <t>2026-03-09</t>
        </is>
      </c>
      <c r="D120" s="11" t="n">
        <v>5</v>
      </c>
      <c r="E120" s="11" t="inlineStr">
        <is>
          <t>MA</t>
        </is>
      </c>
      <c r="F120" s="21" t="n">
        <v>15</v>
      </c>
      <c r="G120" s="11" t="inlineStr">
        <is>
          <t>Simplify</t>
        </is>
      </c>
      <c r="H120" s="10" t="inlineStr">
        <is>
          <t>Sharonville, OH, Saugus, MA</t>
        </is>
      </c>
      <c r="I120" s="13">
        <f>HYPERLINK("https://geaerospace.wd5.myworkdayjobs.com/ge_externalsite/job/Evendale/Engines-Engineering-Co-op---Computer-or-Software-Engineering---US---Fall-2027---Returning-Students_R5030075-1","Open")</f>
        <v/>
      </c>
      <c r="J120" s="11" t="inlineStr">
        <is>
          <t>No</t>
        </is>
      </c>
      <c r="K120" s="11" t="inlineStr"/>
      <c r="L120" s="10" t="inlineStr"/>
      <c r="M120" s="10" t="inlineStr"/>
      <c r="N120" s="10" t="inlineStr"/>
      <c r="O120" s="10" t="inlineStr"/>
    </row>
    <row r="121">
      <c r="A121" s="6" t="inlineStr">
        <is>
          <t>Software Engineer – Business Intelligence Co-op</t>
        </is>
      </c>
      <c r="B121" s="6" t="inlineStr">
        <is>
          <t>Bracebridge Capital</t>
        </is>
      </c>
      <c r="C121" s="7" t="inlineStr">
        <is>
          <t>2026-03-09</t>
        </is>
      </c>
      <c r="D121" s="7" t="n">
        <v>5</v>
      </c>
      <c r="E121" s="7" t="inlineStr">
        <is>
          <t>MA</t>
        </is>
      </c>
      <c r="F121" s="19" t="n">
        <v>7</v>
      </c>
      <c r="G121" s="7" t="inlineStr">
        <is>
          <t>Simplify</t>
        </is>
      </c>
      <c r="H121" s="6" t="inlineStr">
        <is>
          <t>Boston, MA</t>
        </is>
      </c>
      <c r="I121" s="9">
        <f>HYPERLINK("https://job-boards.greenhouse.io/bracebridgecapital/jobs/4671010005","Open")</f>
        <v/>
      </c>
      <c r="J121" s="7" t="inlineStr">
        <is>
          <t>No</t>
        </is>
      </c>
      <c r="K121" s="7" t="inlineStr"/>
      <c r="L121" s="6" t="inlineStr"/>
      <c r="M121" s="6" t="inlineStr"/>
      <c r="N121" s="6" t="inlineStr"/>
      <c r="O121" s="6" t="inlineStr"/>
    </row>
    <row r="122">
      <c r="A122" s="10" t="inlineStr">
        <is>
          <t>Software Development Intern</t>
        </is>
      </c>
      <c r="B122" s="10" t="inlineStr">
        <is>
          <t>MaintainX</t>
        </is>
      </c>
      <c r="C122" s="11" t="inlineStr">
        <is>
          <t>2026-03-09</t>
        </is>
      </c>
      <c r="D122" s="11" t="n">
        <v>5</v>
      </c>
      <c r="E122" s="11" t="inlineStr">
        <is>
          <t>CA</t>
        </is>
      </c>
      <c r="F122" s="18" t="n">
        <v>5</v>
      </c>
      <c r="G122" s="11" t="inlineStr">
        <is>
          <t>Simplify</t>
        </is>
      </c>
      <c r="H122" s="10" t="inlineStr">
        <is>
          <t>Montreal, QC, Canada</t>
        </is>
      </c>
      <c r="I122" s="13">
        <f>HYPERLINK("https://job-boards.greenhouse.io/maintainx/jobs/5068433007","Open")</f>
        <v/>
      </c>
      <c r="J122" s="11" t="inlineStr">
        <is>
          <t>No</t>
        </is>
      </c>
      <c r="K122" s="11" t="inlineStr"/>
      <c r="L122" s="10" t="inlineStr"/>
      <c r="M122" s="10" t="inlineStr"/>
      <c r="N122" s="10" t="inlineStr"/>
      <c r="O122" s="10" t="inlineStr"/>
    </row>
    <row r="123">
      <c r="A123" s="28" t="inlineStr">
        <is>
          <t>Computer Science/Software Engineering Intern</t>
        </is>
      </c>
      <c r="B123" s="28" t="inlineStr">
        <is>
          <t>AMERICAN SYSTEMS</t>
        </is>
      </c>
      <c r="C123" s="29" t="inlineStr">
        <is>
          <t>2026-03-09</t>
        </is>
      </c>
      <c r="D123" s="29" t="n">
        <v>5</v>
      </c>
      <c r="E123" s="29" t="inlineStr">
        <is>
          <t>PA</t>
        </is>
      </c>
      <c r="F123" s="34" t="n">
        <v>13</v>
      </c>
      <c r="G123" s="29" t="inlineStr">
        <is>
          <t>Simplify</t>
        </is>
      </c>
      <c r="H123" s="28" t="inlineStr">
        <is>
          <t>Patuxent River, MD</t>
        </is>
      </c>
      <c r="I123" s="31">
        <f>HYPERLINK("https://careers-americansystems.icims.com/jobs/4092/job?mobile=true&amp;needsRedirect=false","Open")</f>
        <v/>
      </c>
      <c r="J123" s="29" t="inlineStr">
        <is>
          <t>No</t>
        </is>
      </c>
      <c r="K123" s="29" t="inlineStr"/>
      <c r="L123" s="28" t="inlineStr"/>
      <c r="M123" s="28" t="inlineStr"/>
      <c r="N123" s="28" t="inlineStr"/>
      <c r="O123" s="28" t="inlineStr"/>
    </row>
    <row r="124">
      <c r="A124" s="28" t="inlineStr">
        <is>
          <t>Software Engineer Intern</t>
        </is>
      </c>
      <c r="B124" s="28" t="inlineStr">
        <is>
          <t>Clockwork Systems</t>
        </is>
      </c>
      <c r="C124" s="29" t="inlineStr">
        <is>
          <t>2026-03-06</t>
        </is>
      </c>
      <c r="D124" s="29" t="n">
        <v>8</v>
      </c>
      <c r="E124" s="29" t="inlineStr">
        <is>
          <t>PA</t>
        </is>
      </c>
      <c r="F124" s="30" t="n">
        <v>7</v>
      </c>
      <c r="G124" s="29" t="inlineStr">
        <is>
          <t>Simplify</t>
        </is>
      </c>
      <c r="H124" s="28" t="inlineStr">
        <is>
          <t>Palo Alto, CA</t>
        </is>
      </c>
      <c r="I124" s="31">
        <f>HYPERLINK("https://job-boards.greenhouse.io/clockworksystems/jobs/5821413004","Open")</f>
        <v/>
      </c>
      <c r="J124" s="29" t="inlineStr">
        <is>
          <t>No</t>
        </is>
      </c>
      <c r="K124" s="29" t="inlineStr"/>
      <c r="L124" s="28" t="inlineStr"/>
      <c r="M124" s="28" t="inlineStr"/>
      <c r="N124" s="28" t="inlineStr"/>
      <c r="O124" s="28" t="inlineStr"/>
    </row>
    <row r="125">
      <c r="A125" s="6" t="inlineStr">
        <is>
          <t>Intern - Perception</t>
        </is>
      </c>
      <c r="B125" s="6" t="inlineStr">
        <is>
          <t>Kodiak Robotics</t>
        </is>
      </c>
      <c r="C125" s="7" t="inlineStr">
        <is>
          <t>2026-03-06</t>
        </is>
      </c>
      <c r="D125" s="7" t="n">
        <v>8</v>
      </c>
      <c r="E125" s="7" t="inlineStr">
        <is>
          <t>CA</t>
        </is>
      </c>
      <c r="F125" s="8" t="n">
        <v>6</v>
      </c>
      <c r="G125" s="7" t="inlineStr">
        <is>
          <t>Simplify</t>
        </is>
      </c>
      <c r="H125" s="6" t="inlineStr">
        <is>
          <t>Mountain View, CA</t>
        </is>
      </c>
      <c r="I125" s="9">
        <f>HYPERLINK("https://job-boards.greenhouse.io/kodiak/jobs/4174533009","Open")</f>
        <v/>
      </c>
      <c r="J125" s="7" t="inlineStr">
        <is>
          <t>No</t>
        </is>
      </c>
      <c r="K125" s="7" t="inlineStr"/>
      <c r="L125" s="6" t="inlineStr"/>
      <c r="M125" s="6" t="inlineStr"/>
      <c r="N125" s="6" t="inlineStr"/>
      <c r="O125" s="6" t="inlineStr"/>
    </row>
    <row r="126">
      <c r="A126" s="10" t="inlineStr">
        <is>
          <t>Intern - Motion Planning</t>
        </is>
      </c>
      <c r="B126" s="10" t="inlineStr">
        <is>
          <t>Kodiak Robotics</t>
        </is>
      </c>
      <c r="C126" s="11" t="inlineStr">
        <is>
          <t>2026-03-06</t>
        </is>
      </c>
      <c r="D126" s="11" t="n">
        <v>8</v>
      </c>
      <c r="E126" s="11" t="inlineStr">
        <is>
          <t>CA</t>
        </is>
      </c>
      <c r="F126" s="18" t="n">
        <v>6</v>
      </c>
      <c r="G126" s="11" t="inlineStr">
        <is>
          <t>Simplify</t>
        </is>
      </c>
      <c r="H126" s="10" t="inlineStr">
        <is>
          <t>Mountain View, CA</t>
        </is>
      </c>
      <c r="I126" s="13">
        <f>HYPERLINK("https://job-boards.greenhouse.io/kodiak/jobs/4174475009","Open")</f>
        <v/>
      </c>
      <c r="J126" s="11" t="inlineStr">
        <is>
          <t>No</t>
        </is>
      </c>
      <c r="K126" s="11" t="inlineStr"/>
      <c r="L126" s="10" t="inlineStr"/>
      <c r="M126" s="10" t="inlineStr"/>
      <c r="N126" s="10" t="inlineStr"/>
      <c r="O126" s="10" t="inlineStr"/>
    </row>
    <row r="127">
      <c r="A127" s="6" t="inlineStr">
        <is>
          <t>Software Engineer Intern</t>
        </is>
      </c>
      <c r="B127" s="6" t="inlineStr">
        <is>
          <t>Centerfield</t>
        </is>
      </c>
      <c r="C127" s="7" t="inlineStr">
        <is>
          <t>2026-03-06</t>
        </is>
      </c>
      <c r="D127" s="7" t="n">
        <v>8</v>
      </c>
      <c r="E127" s="7" t="inlineStr">
        <is>
          <t>CA</t>
        </is>
      </c>
      <c r="F127" s="20" t="n">
        <v>10</v>
      </c>
      <c r="G127" s="7" t="inlineStr">
        <is>
          <t>Simplify</t>
        </is>
      </c>
      <c r="H127" s="6" t="inlineStr">
        <is>
          <t>Culver City, CA</t>
        </is>
      </c>
      <c r="I127" s="9">
        <f>HYPERLINK("https://jobs.ashbyhq.com/centerfield/3bcb68d6-1d15-4554-b804-bb6ee52f2e53/application","Open")</f>
        <v/>
      </c>
      <c r="J127" s="7" t="inlineStr">
        <is>
          <t>No</t>
        </is>
      </c>
      <c r="K127" s="7" t="inlineStr"/>
      <c r="L127" s="6" t="inlineStr"/>
      <c r="M127" s="6" t="inlineStr"/>
      <c r="N127" s="6" t="inlineStr"/>
      <c r="O127" s="6" t="inlineStr"/>
    </row>
    <row r="128">
      <c r="A128" s="10" t="inlineStr">
        <is>
          <t>Intern - Artificial Intelligence/Machine Learning</t>
        </is>
      </c>
      <c r="B128" s="10" t="inlineStr">
        <is>
          <t>Kodiak Robotics</t>
        </is>
      </c>
      <c r="C128" s="11" t="inlineStr">
        <is>
          <t>2026-03-06</t>
        </is>
      </c>
      <c r="D128" s="11" t="n">
        <v>8</v>
      </c>
      <c r="E128" s="11" t="inlineStr">
        <is>
          <t>CA</t>
        </is>
      </c>
      <c r="F128" s="12" t="n">
        <v>9</v>
      </c>
      <c r="G128" s="11" t="inlineStr">
        <is>
          <t>Simplify</t>
        </is>
      </c>
      <c r="H128" s="10" t="inlineStr">
        <is>
          <t>Mountain View, CA</t>
        </is>
      </c>
      <c r="I128" s="13">
        <f>HYPERLINK("https://job-boards.greenhouse.io/kodiak/jobs/4174469009","Open")</f>
        <v/>
      </c>
      <c r="J128" s="11" t="inlineStr">
        <is>
          <t>No</t>
        </is>
      </c>
      <c r="K128" s="11" t="inlineStr"/>
      <c r="L128" s="10" t="inlineStr"/>
      <c r="M128" s="10" t="inlineStr"/>
      <c r="N128" s="10" t="inlineStr"/>
      <c r="O128" s="10" t="inlineStr"/>
    </row>
    <row r="129">
      <c r="A129" s="6" t="inlineStr">
        <is>
          <t>Intern - Data Science</t>
        </is>
      </c>
      <c r="B129" s="6" t="inlineStr">
        <is>
          <t>Kodiak Robotics</t>
        </is>
      </c>
      <c r="C129" s="7" t="inlineStr">
        <is>
          <t>2026-03-06</t>
        </is>
      </c>
      <c r="D129" s="7" t="n">
        <v>8</v>
      </c>
      <c r="E129" s="7" t="inlineStr">
        <is>
          <t>CA</t>
        </is>
      </c>
      <c r="F129" s="19" t="n">
        <v>8</v>
      </c>
      <c r="G129" s="7" t="inlineStr">
        <is>
          <t>Simplify</t>
        </is>
      </c>
      <c r="H129" s="6" t="inlineStr">
        <is>
          <t>Mountain View, CA</t>
        </is>
      </c>
      <c r="I129" s="9">
        <f>HYPERLINK("https://job-boards.greenhouse.io/kodiak/jobs/4174629009","Open")</f>
        <v/>
      </c>
      <c r="J129" s="7" t="inlineStr">
        <is>
          <t>No</t>
        </is>
      </c>
      <c r="K129" s="7" t="inlineStr"/>
      <c r="L129" s="6" t="inlineStr"/>
      <c r="M129" s="6" t="inlineStr"/>
      <c r="N129" s="6" t="inlineStr"/>
      <c r="O129" s="6" t="inlineStr"/>
    </row>
    <row r="130">
      <c r="A130" s="10" t="inlineStr">
        <is>
          <t>Software Developer Intern/Co-op</t>
        </is>
      </c>
      <c r="B130" s="10" t="inlineStr">
        <is>
          <t>Nokia</t>
        </is>
      </c>
      <c r="C130" s="11" t="inlineStr">
        <is>
          <t>2026-03-06</t>
        </is>
      </c>
      <c r="D130" s="11" t="n">
        <v>8</v>
      </c>
      <c r="E130" s="11" t="inlineStr">
        <is>
          <t>TX</t>
        </is>
      </c>
      <c r="F130" s="18" t="n">
        <v>5</v>
      </c>
      <c r="G130" s="11" t="inlineStr">
        <is>
          <t>Simplify</t>
        </is>
      </c>
      <c r="H130" s="10" t="inlineStr">
        <is>
          <t>Dallas, TX</t>
        </is>
      </c>
      <c r="I130" s="13">
        <f>HYPERLINK("https://fa-evmr-saasfaprod1.fa.ocs.oraclecloud.com/hcmUI/CandidateExperience/en/sites/CX_1/job/32446","Open")</f>
        <v/>
      </c>
      <c r="J130" s="11" t="inlineStr">
        <is>
          <t>No</t>
        </is>
      </c>
      <c r="K130" s="11" t="inlineStr"/>
      <c r="L130" s="10" t="inlineStr"/>
      <c r="M130" s="10" t="inlineStr"/>
      <c r="N130" s="10" t="inlineStr"/>
      <c r="O130" s="10" t="inlineStr"/>
    </row>
    <row r="131">
      <c r="A131" s="6" t="inlineStr">
        <is>
          <t>Software Engineer Intern</t>
        </is>
      </c>
      <c r="B131" s="6" t="inlineStr">
        <is>
          <t>Leidos</t>
        </is>
      </c>
      <c r="C131" s="7" t="inlineStr">
        <is>
          <t>2026-03-06</t>
        </is>
      </c>
      <c r="D131" s="7" t="n">
        <v>8</v>
      </c>
      <c r="E131" s="7" t="inlineStr"/>
      <c r="F131" s="19" t="n">
        <v>7</v>
      </c>
      <c r="G131" s="7" t="inlineStr">
        <is>
          <t>Simplify</t>
        </is>
      </c>
      <c r="H131" s="6" t="inlineStr">
        <is>
          <t>Oklahoma City, OK</t>
        </is>
      </c>
      <c r="I131" s="9">
        <f>HYPERLINK("https://leidos.wd5.myworkdayjobs.com/External/job/Oklahoma-City-OK/Software-Engineer-Intern_R-00177523","Open")</f>
        <v/>
      </c>
      <c r="J131" s="7" t="inlineStr">
        <is>
          <t>No</t>
        </is>
      </c>
      <c r="K131" s="7" t="inlineStr"/>
      <c r="L131" s="6" t="inlineStr"/>
      <c r="M131" s="6" t="inlineStr"/>
      <c r="N131" s="6" t="inlineStr"/>
      <c r="O131" s="6" t="inlineStr"/>
    </row>
    <row r="132">
      <c r="A132" s="10" t="inlineStr">
        <is>
          <t>Software Developer Intern</t>
        </is>
      </c>
      <c r="B132" s="10" t="inlineStr">
        <is>
          <t>Johnson Controls</t>
        </is>
      </c>
      <c r="C132" s="11" t="inlineStr">
        <is>
          <t>2026-03-06</t>
        </is>
      </c>
      <c r="D132" s="11" t="n">
        <v>8</v>
      </c>
      <c r="E132" s="11" t="inlineStr">
        <is>
          <t>MA</t>
        </is>
      </c>
      <c r="F132" s="12" t="n">
        <v>8</v>
      </c>
      <c r="G132" s="11" t="inlineStr">
        <is>
          <t>Simplify</t>
        </is>
      </c>
      <c r="H132" s="10" t="inlineStr">
        <is>
          <t>Westford, MA</t>
        </is>
      </c>
      <c r="I132" s="13">
        <f>HYPERLINK("https://jci.wd5.myworkdayjobs.com/JCI_Confidential/job/Westford-Massachusetts-United-States-of-America/Software-Developer-Intern---Summer_WD30261667-2","Open")</f>
        <v/>
      </c>
      <c r="J132" s="11" t="inlineStr">
        <is>
          <t>No</t>
        </is>
      </c>
      <c r="K132" s="11" t="inlineStr"/>
      <c r="L132" s="10" t="inlineStr"/>
      <c r="M132" s="10" t="inlineStr"/>
      <c r="N132" s="10" t="inlineStr"/>
      <c r="O132" s="10" t="inlineStr"/>
    </row>
    <row r="133">
      <c r="A133" s="2" t="inlineStr">
        <is>
          <t>Software Engineering Intern</t>
        </is>
      </c>
      <c r="B133" s="2" t="inlineStr">
        <is>
          <t>Precisely</t>
        </is>
      </c>
      <c r="C133" s="3" t="inlineStr">
        <is>
          <t>2026-03-06</t>
        </is>
      </c>
      <c r="D133" s="3" t="n">
        <v>8</v>
      </c>
      <c r="E133" s="3" t="inlineStr">
        <is>
          <t>Remote</t>
        </is>
      </c>
      <c r="F133" s="35" t="n">
        <v>11</v>
      </c>
      <c r="G133" s="3" t="inlineStr">
        <is>
          <t>Simplify</t>
        </is>
      </c>
      <c r="H133" s="2" t="inlineStr">
        <is>
          <t>Remote in USA</t>
        </is>
      </c>
      <c r="I133" s="5">
        <f>HYPERLINK("https://www.precisely.com/careers-and-culture/us-jobs/job/4669797005?gh_jid=4669797005","Open")</f>
        <v/>
      </c>
      <c r="J133" s="3" t="inlineStr">
        <is>
          <t>No</t>
        </is>
      </c>
      <c r="K133" s="3" t="inlineStr"/>
      <c r="L133" s="2" t="inlineStr"/>
      <c r="M133" s="2" t="inlineStr"/>
      <c r="N133" s="2" t="inlineStr"/>
      <c r="O133" s="2" t="inlineStr"/>
    </row>
    <row r="134">
      <c r="A134" s="2" t="inlineStr">
        <is>
          <t>Python Developer Intern</t>
        </is>
      </c>
      <c r="B134" s="2" t="inlineStr">
        <is>
          <t>Precisely</t>
        </is>
      </c>
      <c r="C134" s="3" t="inlineStr">
        <is>
          <t>2026-03-06</t>
        </is>
      </c>
      <c r="D134" s="3" t="n">
        <v>8</v>
      </c>
      <c r="E134" s="3" t="inlineStr">
        <is>
          <t>Remote</t>
        </is>
      </c>
      <c r="F134" s="27" t="n">
        <v>5</v>
      </c>
      <c r="G134" s="3" t="inlineStr">
        <is>
          <t>Simplify</t>
        </is>
      </c>
      <c r="H134" s="2" t="inlineStr">
        <is>
          <t>Remote in USA</t>
        </is>
      </c>
      <c r="I134" s="5">
        <f>HYPERLINK("https://www.precisely.com/careers-and-culture/us-jobs/job/4669819005?gh_jid=4669819005","Open")</f>
        <v/>
      </c>
      <c r="J134" s="3" t="inlineStr">
        <is>
          <t>No</t>
        </is>
      </c>
      <c r="K134" s="3" t="inlineStr"/>
      <c r="L134" s="2" t="inlineStr"/>
      <c r="M134" s="2" t="inlineStr"/>
      <c r="N134" s="2" t="inlineStr"/>
      <c r="O134" s="2" t="inlineStr"/>
    </row>
    <row r="135">
      <c r="A135" s="6" t="inlineStr">
        <is>
          <t>Software Engineer Intern - Observability</t>
        </is>
      </c>
      <c r="B135" s="6" t="inlineStr">
        <is>
          <t>Roku</t>
        </is>
      </c>
      <c r="C135" s="7" t="inlineStr">
        <is>
          <t>2026-03-06</t>
        </is>
      </c>
      <c r="D135" s="7" t="n">
        <v>8</v>
      </c>
      <c r="E135" s="7" t="inlineStr">
        <is>
          <t>CA</t>
        </is>
      </c>
      <c r="F135" s="19" t="n">
        <v>7</v>
      </c>
      <c r="G135" s="7" t="inlineStr">
        <is>
          <t>Simplify</t>
        </is>
      </c>
      <c r="H135" s="6" t="inlineStr">
        <is>
          <t>Cardiff, UK</t>
        </is>
      </c>
      <c r="I135" s="9">
        <f>HYPERLINK("https://www.weareroku.com/jobs/7687825?gh_jid=7687825","Open")</f>
        <v/>
      </c>
      <c r="J135" s="7" t="inlineStr">
        <is>
          <t>No</t>
        </is>
      </c>
      <c r="K135" s="7" t="inlineStr"/>
      <c r="L135" s="6" t="inlineStr"/>
      <c r="M135" s="6" t="inlineStr"/>
      <c r="N135" s="6" t="inlineStr"/>
      <c r="O135" s="6" t="inlineStr"/>
    </row>
    <row r="136">
      <c r="A136" s="2" t="inlineStr">
        <is>
          <t>Full Stack Developer Intern</t>
        </is>
      </c>
      <c r="B136" s="2" t="inlineStr">
        <is>
          <t>Precisely</t>
        </is>
      </c>
      <c r="C136" s="3" t="inlineStr">
        <is>
          <t>2026-03-06</t>
        </is>
      </c>
      <c r="D136" s="3" t="n">
        <v>8</v>
      </c>
      <c r="E136" s="3" t="inlineStr">
        <is>
          <t>Remote</t>
        </is>
      </c>
      <c r="F136" s="27" t="n">
        <v>4</v>
      </c>
      <c r="G136" s="3" t="inlineStr">
        <is>
          <t>Simplify</t>
        </is>
      </c>
      <c r="H136" s="2" t="inlineStr">
        <is>
          <t>Remote in USA</t>
        </is>
      </c>
      <c r="I136" s="5">
        <f>HYPERLINK("https://www.precisely.com/careers-and-culture/us-jobs/job/4669822005?gh_jid=4669822005","Open")</f>
        <v/>
      </c>
      <c r="J136" s="3" t="inlineStr">
        <is>
          <t>No</t>
        </is>
      </c>
      <c r="K136" s="3" t="inlineStr"/>
      <c r="L136" s="2" t="inlineStr"/>
      <c r="M136" s="2" t="inlineStr"/>
      <c r="N136" s="2" t="inlineStr"/>
      <c r="O136" s="2" t="inlineStr"/>
    </row>
    <row r="137">
      <c r="A137" s="28" t="inlineStr">
        <is>
          <t>Systems Software Engineer Intern</t>
        </is>
      </c>
      <c r="B137" s="28" t="inlineStr">
        <is>
          <t>Clockwork Systems</t>
        </is>
      </c>
      <c r="C137" s="29" t="inlineStr">
        <is>
          <t>2026-03-06</t>
        </is>
      </c>
      <c r="D137" s="29" t="n">
        <v>8</v>
      </c>
      <c r="E137" s="29" t="inlineStr">
        <is>
          <t>PA</t>
        </is>
      </c>
      <c r="F137" s="30" t="n">
        <v>7</v>
      </c>
      <c r="G137" s="29" t="inlineStr">
        <is>
          <t>Simplify</t>
        </is>
      </c>
      <c r="H137" s="28" t="inlineStr">
        <is>
          <t>Palo Alto, CA</t>
        </is>
      </c>
      <c r="I137" s="31">
        <f>HYPERLINK("https://job-boards.greenhouse.io/clockworksystems/jobs/5821303004","Open")</f>
        <v/>
      </c>
      <c r="J137" s="29" t="inlineStr">
        <is>
          <t>No</t>
        </is>
      </c>
      <c r="K137" s="29" t="inlineStr"/>
      <c r="L137" s="28" t="inlineStr"/>
      <c r="M137" s="28" t="inlineStr"/>
      <c r="N137" s="28" t="inlineStr"/>
      <c r="O137" s="28" t="inlineStr"/>
    </row>
    <row r="138">
      <c r="A138" s="22" t="inlineStr">
        <is>
          <t>Intern - Software Engineer - Corporate and Business Services</t>
        </is>
      </c>
      <c r="B138" s="22" t="inlineStr">
        <is>
          <t>Zebra Technologies</t>
        </is>
      </c>
      <c r="C138" s="23" t="inlineStr">
        <is>
          <t>2026-03-06</t>
        </is>
      </c>
      <c r="D138" s="23" t="n">
        <v>8</v>
      </c>
      <c r="E138" s="23" t="inlineStr">
        <is>
          <t>NY</t>
        </is>
      </c>
      <c r="F138" s="24" t="n">
        <v>7</v>
      </c>
      <c r="G138" s="23" t="inlineStr">
        <is>
          <t>Simplify</t>
        </is>
      </c>
      <c r="H138" s="22" t="inlineStr">
        <is>
          <t>Lake Grove, NY</t>
        </is>
      </c>
      <c r="I138" s="25">
        <f>HYPERLINK("https://zebra.eightfold.ai/careers/job/343638073364","Open")</f>
        <v/>
      </c>
      <c r="J138" s="23" t="inlineStr">
        <is>
          <t>No</t>
        </is>
      </c>
      <c r="K138" s="23" t="inlineStr"/>
      <c r="L138" s="22" t="inlineStr"/>
      <c r="M138" s="22" t="inlineStr"/>
      <c r="N138" s="22" t="inlineStr"/>
      <c r="O138" s="22" t="inlineStr"/>
    </row>
    <row r="139">
      <c r="A139" s="22" t="inlineStr">
        <is>
          <t>Software Engineer Intern</t>
        </is>
      </c>
      <c r="B139" s="22" t="inlineStr">
        <is>
          <t>Genesis Therapeutics</t>
        </is>
      </c>
      <c r="C139" s="23" t="inlineStr">
        <is>
          <t>2026-03-06</t>
        </is>
      </c>
      <c r="D139" s="23" t="n">
        <v>8</v>
      </c>
      <c r="E139" s="23" t="inlineStr">
        <is>
          <t>NY</t>
        </is>
      </c>
      <c r="F139" s="24" t="n">
        <v>7</v>
      </c>
      <c r="G139" s="23" t="inlineStr">
        <is>
          <t>Simplify</t>
        </is>
      </c>
      <c r="H139" s="22" t="inlineStr">
        <is>
          <t>San Mateo, CA, NYC</t>
        </is>
      </c>
      <c r="I139" s="25">
        <f>HYPERLINK("https://jobs.ashbyhq.com/genesis-therapeutics/ba13bf24-9c7a-46c7-9d58-ab4b7a901734/application","Open")</f>
        <v/>
      </c>
      <c r="J139" s="23" t="inlineStr">
        <is>
          <t>No</t>
        </is>
      </c>
      <c r="K139" s="23" t="inlineStr"/>
      <c r="L139" s="22" t="inlineStr"/>
      <c r="M139" s="22" t="inlineStr"/>
      <c r="N139" s="22" t="inlineStr"/>
      <c r="O139" s="22" t="inlineStr"/>
    </row>
    <row r="140">
      <c r="A140" s="10" t="inlineStr">
        <is>
          <t>AI &amp; Software Engineering Intern</t>
        </is>
      </c>
      <c r="B140" s="10" t="inlineStr">
        <is>
          <t>USAFacts</t>
        </is>
      </c>
      <c r="C140" s="11" t="inlineStr">
        <is>
          <t>2026-03-06</t>
        </is>
      </c>
      <c r="D140" s="11" t="n">
        <v>8</v>
      </c>
      <c r="E140" s="11" t="inlineStr">
        <is>
          <t>WA</t>
        </is>
      </c>
      <c r="F140" s="21" t="n">
        <v>13</v>
      </c>
      <c r="G140" s="11" t="inlineStr">
        <is>
          <t>Simplify</t>
        </is>
      </c>
      <c r="H140" s="10" t="inlineStr">
        <is>
          <t>Bellevue, WA</t>
        </is>
      </c>
      <c r="I140" s="13">
        <f>HYPERLINK("https://job-boards.greenhouse.io/usafacts/jobs/4173787009","Open")</f>
        <v/>
      </c>
      <c r="J140" s="11" t="inlineStr">
        <is>
          <t>No</t>
        </is>
      </c>
      <c r="K140" s="11" t="inlineStr"/>
      <c r="L140" s="10" t="inlineStr"/>
      <c r="M140" s="10" t="inlineStr"/>
      <c r="N140" s="10" t="inlineStr"/>
      <c r="O140" s="10" t="inlineStr"/>
    </row>
    <row r="141">
      <c r="A141" s="6" t="inlineStr">
        <is>
          <t>Flight Software Engineering Intern</t>
        </is>
      </c>
      <c r="B141" s="6" t="inlineStr">
        <is>
          <t>Hermeus</t>
        </is>
      </c>
      <c r="C141" s="7" t="inlineStr">
        <is>
          <t>2026-03-06</t>
        </is>
      </c>
      <c r="D141" s="7" t="n">
        <v>8</v>
      </c>
      <c r="E141" s="7" t="inlineStr">
        <is>
          <t>GA</t>
        </is>
      </c>
      <c r="F141" s="20" t="n">
        <v>11</v>
      </c>
      <c r="G141" s="7" t="inlineStr">
        <is>
          <t>AlmondCroffle</t>
        </is>
      </c>
      <c r="H141" s="6" t="inlineStr">
        <is>
          <t>Atlanta, GA</t>
        </is>
      </c>
      <c r="I141" s="9">
        <f>HYPERLINK("https://jobs.lever.co/hermeus/51378fa0-0327-45fd-9420-b6e7d8b56440","Open")</f>
        <v/>
      </c>
      <c r="J141" s="7" t="inlineStr">
        <is>
          <t>No</t>
        </is>
      </c>
      <c r="K141" s="7" t="inlineStr"/>
      <c r="L141" s="6" t="inlineStr"/>
      <c r="M141" s="6" t="inlineStr"/>
      <c r="N141" s="6" t="inlineStr"/>
      <c r="O141" s="6" t="inlineStr"/>
    </row>
    <row r="142">
      <c r="A142" s="10" t="inlineStr">
        <is>
          <t>Software Developer Intern</t>
        </is>
      </c>
      <c r="B142" s="10" t="inlineStr">
        <is>
          <t>iPipeline</t>
        </is>
      </c>
      <c r="C142" s="11" t="inlineStr">
        <is>
          <t>2026-03-06</t>
        </is>
      </c>
      <c r="D142" s="11" t="n">
        <v>8</v>
      </c>
      <c r="E142" s="11" t="inlineStr">
        <is>
          <t>FL</t>
        </is>
      </c>
      <c r="F142" s="18" t="n">
        <v>5</v>
      </c>
      <c r="G142" s="11" t="inlineStr">
        <is>
          <t>AlmondCroffle</t>
        </is>
      </c>
      <c r="H142" s="10" t="inlineStr">
        <is>
          <t>Fort Lauderdale, FL</t>
        </is>
      </c>
      <c r="I142" s="13">
        <f>HYPERLINK("https://careers-ipipeline.icims.com/jobs/1591/software-developer-intern-%28summer-2026---r%26d%29/job","Open")</f>
        <v/>
      </c>
      <c r="J142" s="11" t="inlineStr">
        <is>
          <t>No</t>
        </is>
      </c>
      <c r="K142" s="11" t="inlineStr"/>
      <c r="L142" s="10" t="inlineStr"/>
      <c r="M142" s="10" t="inlineStr"/>
      <c r="N142" s="10" t="inlineStr"/>
      <c r="O142" s="10" t="inlineStr"/>
    </row>
    <row r="143">
      <c r="A143" s="28" t="inlineStr">
        <is>
          <t>Software Developer Intern</t>
        </is>
      </c>
      <c r="B143" s="28" t="inlineStr">
        <is>
          <t>iPipeline</t>
        </is>
      </c>
      <c r="C143" s="29" t="inlineStr">
        <is>
          <t>2026-03-06</t>
        </is>
      </c>
      <c r="D143" s="29" t="n">
        <v>8</v>
      </c>
      <c r="E143" s="29" t="inlineStr">
        <is>
          <t>PA</t>
        </is>
      </c>
      <c r="F143" s="32" t="n">
        <v>5</v>
      </c>
      <c r="G143" s="29" t="inlineStr">
        <is>
          <t>AlmondCroffle</t>
        </is>
      </c>
      <c r="H143" s="28" t="inlineStr">
        <is>
          <t>Exton, PA</t>
        </is>
      </c>
      <c r="I143" s="31">
        <f>HYPERLINK("https://careers-ipipeline.icims.com/jobs/1596/software-developer-intern-%28summer-2026--professional-services%29/job","Open")</f>
        <v/>
      </c>
      <c r="J143" s="29" t="inlineStr">
        <is>
          <t>No</t>
        </is>
      </c>
      <c r="K143" s="29" t="inlineStr"/>
      <c r="L143" s="28" t="inlineStr"/>
      <c r="M143" s="28" t="inlineStr"/>
      <c r="N143" s="28" t="inlineStr"/>
      <c r="O143" s="28" t="inlineStr"/>
    </row>
    <row r="144">
      <c r="A144" s="10" t="inlineStr">
        <is>
          <t>Embedded Software Engineering Intern</t>
        </is>
      </c>
      <c r="B144" s="10" t="inlineStr">
        <is>
          <t>Ultra Maritime</t>
        </is>
      </c>
      <c r="C144" s="11" t="inlineStr">
        <is>
          <t>2026-03-06</t>
        </is>
      </c>
      <c r="D144" s="11" t="n">
        <v>8</v>
      </c>
      <c r="E144" s="11" t="inlineStr">
        <is>
          <t>CO</t>
        </is>
      </c>
      <c r="F144" s="21" t="n">
        <v>21</v>
      </c>
      <c r="G144" s="11" t="inlineStr">
        <is>
          <t>AlmondCroffle</t>
        </is>
      </c>
      <c r="H144" s="10" t="inlineStr">
        <is>
          <t>Columbia City, IN</t>
        </is>
      </c>
      <c r="I144" s="13">
        <f>HYPERLINK("https://ultra.wd3.myworkdayjobs.com/en-US/ultra-careers/job/Columbia-City-IN-United-States/Embedded-Software-Engineering-Intern--Summer-2026-_REQ-11562","Open")</f>
        <v/>
      </c>
      <c r="J144" s="11" t="inlineStr">
        <is>
          <t>No</t>
        </is>
      </c>
      <c r="K144" s="11" t="inlineStr"/>
      <c r="L144" s="10" t="inlineStr"/>
      <c r="M144" s="10" t="inlineStr"/>
      <c r="N144" s="10" t="inlineStr"/>
      <c r="O144" s="10" t="inlineStr"/>
    </row>
    <row r="145">
      <c r="A145" s="6" t="inlineStr">
        <is>
          <t>Machine Learning Engineer Intern</t>
        </is>
      </c>
      <c r="B145" s="6" t="inlineStr">
        <is>
          <t>Unlikely AI</t>
        </is>
      </c>
      <c r="C145" s="7" t="inlineStr">
        <is>
          <t>2026-03-06</t>
        </is>
      </c>
      <c r="D145" s="7" t="n">
        <v>8</v>
      </c>
      <c r="E145" s="7" t="inlineStr"/>
      <c r="F145" s="8" t="n">
        <v>5</v>
      </c>
      <c r="G145" s="7" t="inlineStr">
        <is>
          <t>Simplify</t>
        </is>
      </c>
      <c r="H145" s="6" t="inlineStr">
        <is>
          <t>London, UK</t>
        </is>
      </c>
      <c r="I145" s="9">
        <f>HYPERLINK("https://jobs.ashbyhq.com/unlikelyai/8d50b0a8-0f5c-403e-8629-917d8b8430d2/application","Open")</f>
        <v/>
      </c>
      <c r="J145" s="7" t="inlineStr">
        <is>
          <t>No</t>
        </is>
      </c>
      <c r="K145" s="7" t="inlineStr"/>
      <c r="L145" s="6" t="inlineStr"/>
      <c r="M145" s="6" t="inlineStr"/>
      <c r="N145" s="6" t="inlineStr"/>
      <c r="O145" s="6" t="inlineStr"/>
    </row>
    <row r="146">
      <c r="A146" s="28" t="inlineStr">
        <is>
          <t>Intern - AI and Machine Learning</t>
        </is>
      </c>
      <c r="B146" s="28" t="inlineStr">
        <is>
          <t xml:space="preserve">Coherent </t>
        </is>
      </c>
      <c r="C146" s="29" t="inlineStr">
        <is>
          <t>2026-03-06</t>
        </is>
      </c>
      <c r="D146" s="29" t="n">
        <v>8</v>
      </c>
      <c r="E146" s="29" t="inlineStr">
        <is>
          <t>PA</t>
        </is>
      </c>
      <c r="F146" s="32" t="n">
        <v>5</v>
      </c>
      <c r="G146" s="29" t="inlineStr">
        <is>
          <t>Simplify</t>
        </is>
      </c>
      <c r="H146" s="28" t="inlineStr">
        <is>
          <t>Tarentum, PA</t>
        </is>
      </c>
      <c r="I146" s="31">
        <f>HYPERLINK("https://hcwp.fa.us2.oraclecloud.com/hcmUI/CandidateExperience/en/sites/CX_1/job/2010408","Open")</f>
        <v/>
      </c>
      <c r="J146" s="29" t="inlineStr">
        <is>
          <t>No</t>
        </is>
      </c>
      <c r="K146" s="29" t="inlineStr"/>
      <c r="L146" s="28" t="inlineStr"/>
      <c r="M146" s="28" t="inlineStr"/>
      <c r="N146" s="28" t="inlineStr"/>
      <c r="O146" s="28" t="inlineStr"/>
    </row>
    <row r="147">
      <c r="A147" s="6" t="inlineStr">
        <is>
          <t>Software Engineer Intern</t>
        </is>
      </c>
      <c r="B147" s="6" t="inlineStr">
        <is>
          <t>Unlikely AI</t>
        </is>
      </c>
      <c r="C147" s="7" t="inlineStr">
        <is>
          <t>2026-03-06</t>
        </is>
      </c>
      <c r="D147" s="7" t="n">
        <v>8</v>
      </c>
      <c r="E147" s="7" t="inlineStr"/>
      <c r="F147" s="19" t="n">
        <v>9</v>
      </c>
      <c r="G147" s="7" t="inlineStr">
        <is>
          <t>Simplify</t>
        </is>
      </c>
      <c r="H147" s="6" t="inlineStr">
        <is>
          <t>London, UK</t>
        </is>
      </c>
      <c r="I147" s="9">
        <f>HYPERLINK("https://jobs.ashbyhq.com/unlikelyai/a0f38397-9feb-407c-bb4e-94db4f3157ad/application","Open")</f>
        <v/>
      </c>
      <c r="J147" s="7" t="inlineStr">
        <is>
          <t>No</t>
        </is>
      </c>
      <c r="K147" s="7" t="inlineStr"/>
      <c r="L147" s="6" t="inlineStr"/>
      <c r="M147" s="6" t="inlineStr"/>
      <c r="N147" s="6" t="inlineStr"/>
      <c r="O147" s="6" t="inlineStr"/>
    </row>
    <row r="148">
      <c r="A148" s="10" t="inlineStr">
        <is>
          <t>Software Engineer Co-op - AI/Data</t>
        </is>
      </c>
      <c r="B148" s="10" t="inlineStr">
        <is>
          <t>Rolls Royce</t>
        </is>
      </c>
      <c r="C148" s="11" t="inlineStr">
        <is>
          <t>2026-03-06</t>
        </is>
      </c>
      <c r="D148" s="11" t="n">
        <v>9</v>
      </c>
      <c r="E148" s="11" t="inlineStr"/>
      <c r="F148" s="12" t="n">
        <v>9</v>
      </c>
      <c r="G148" s="11" t="inlineStr">
        <is>
          <t>Simplify</t>
        </is>
      </c>
      <c r="H148" s="10" t="inlineStr">
        <is>
          <t>Greenville, SC</t>
        </is>
      </c>
      <c r="I148" s="13">
        <f>HYPERLINK("https://jobs.bmwgroup.com/job/Greenville-FG-AM-61-Software-Engineer-Coop-Fall-2026-(AIData)-Sout/1370813633/?ats=successfactors","Open")</f>
        <v/>
      </c>
      <c r="J148" s="11" t="inlineStr">
        <is>
          <t>No</t>
        </is>
      </c>
      <c r="K148" s="11" t="inlineStr"/>
      <c r="L148" s="10" t="inlineStr"/>
      <c r="M148" s="10" t="inlineStr"/>
      <c r="N148" s="10" t="inlineStr"/>
      <c r="O148" s="10" t="inlineStr"/>
    </row>
    <row r="149">
      <c r="A149" s="6" t="inlineStr">
        <is>
          <t>Innovations Software Developer Intern</t>
        </is>
      </c>
      <c r="B149" s="6" t="inlineStr">
        <is>
          <t>Rolls Royce</t>
        </is>
      </c>
      <c r="C149" s="7" t="inlineStr">
        <is>
          <t>2026-03-06</t>
        </is>
      </c>
      <c r="D149" s="7" t="n">
        <v>9</v>
      </c>
      <c r="E149" s="7" t="inlineStr"/>
      <c r="F149" s="8" t="n">
        <v>5</v>
      </c>
      <c r="G149" s="7" t="inlineStr">
        <is>
          <t>Simplify</t>
        </is>
      </c>
      <c r="H149" s="6" t="inlineStr">
        <is>
          <t>Spartanburg, SC</t>
        </is>
      </c>
      <c r="I149" s="9">
        <f>HYPERLINK("https://jobs.bmwgroup.com/job/Spartanburg-TX-S-12-Innovations-Software-Developer-Intern-Fall-2026-SC-29301/1370737533/?ats=successfactors","Open")</f>
        <v/>
      </c>
      <c r="J149" s="7" t="inlineStr">
        <is>
          <t>No</t>
        </is>
      </c>
      <c r="K149" s="7" t="inlineStr"/>
      <c r="L149" s="6" t="inlineStr"/>
      <c r="M149" s="6" t="inlineStr"/>
      <c r="N149" s="6" t="inlineStr"/>
      <c r="O149" s="6" t="inlineStr"/>
    </row>
    <row r="150">
      <c r="A150" s="10" t="inlineStr">
        <is>
          <t>Paint Shop Digitalization Developer Maintenance Planning Intern</t>
        </is>
      </c>
      <c r="B150" s="10" t="inlineStr">
        <is>
          <t>Rolls Royce</t>
        </is>
      </c>
      <c r="C150" s="11" t="inlineStr">
        <is>
          <t>2026-03-06</t>
        </is>
      </c>
      <c r="D150" s="11" t="n">
        <v>9</v>
      </c>
      <c r="E150" s="11" t="inlineStr"/>
      <c r="F150" s="18" t="n">
        <v>4</v>
      </c>
      <c r="G150" s="11" t="inlineStr">
        <is>
          <t>Simplify</t>
        </is>
      </c>
      <c r="H150" s="10" t="inlineStr">
        <is>
          <t>Spartanburg, SC</t>
        </is>
      </c>
      <c r="I150" s="13">
        <f>HYPERLINK("https://jobs.bmwgroup.com/job/Spartanburg-Paint-Shop-Digitalization-Developer-Maintenance-Planning-Intern-(Fall-2026)-Sout/1370799333/?ats=successfactors","Open")</f>
        <v/>
      </c>
      <c r="J150" s="11" t="inlineStr">
        <is>
          <t>No</t>
        </is>
      </c>
      <c r="K150" s="11" t="inlineStr"/>
      <c r="L150" s="10" t="inlineStr"/>
      <c r="M150" s="10" t="inlineStr"/>
      <c r="N150" s="10" t="inlineStr"/>
      <c r="O150" s="10" t="inlineStr"/>
    </row>
    <row r="151">
      <c r="A151" s="6" t="inlineStr">
        <is>
          <t>Full Stack &amp; GenAI Engineer Intern</t>
        </is>
      </c>
      <c r="B151" s="6" t="inlineStr">
        <is>
          <t>Skechers</t>
        </is>
      </c>
      <c r="C151" s="7" t="inlineStr">
        <is>
          <t>2026-03-05</t>
        </is>
      </c>
      <c r="D151" s="7" t="n">
        <v>9</v>
      </c>
      <c r="E151" s="7" t="inlineStr">
        <is>
          <t>CA</t>
        </is>
      </c>
      <c r="F151" s="8" t="n">
        <v>4</v>
      </c>
      <c r="G151" s="7" t="inlineStr">
        <is>
          <t>Simplify</t>
        </is>
      </c>
      <c r="H151" s="6" t="inlineStr">
        <is>
          <t>El Segundo, CA</t>
        </is>
      </c>
      <c r="I151" s="9">
        <f>HYPERLINK("https://skechers.wd5.myworkdayjobs.com/One-career-site/job/Manhattan-Beach-CA/Full-Stack---GenAI-Engineer-Intern--Summer-2026-_JR125777","Open")</f>
        <v/>
      </c>
      <c r="J151" s="7" t="inlineStr">
        <is>
          <t>No</t>
        </is>
      </c>
      <c r="K151" s="7" t="inlineStr"/>
      <c r="L151" s="6" t="inlineStr"/>
      <c r="M151" s="6" t="inlineStr"/>
      <c r="N151" s="6" t="inlineStr"/>
      <c r="O151" s="6" t="inlineStr"/>
    </row>
    <row r="152">
      <c r="A152" s="10" t="inlineStr">
        <is>
          <t>Firmware Engineer Intern</t>
        </is>
      </c>
      <c r="B152" s="10" t="inlineStr">
        <is>
          <t>Agility Robotics</t>
        </is>
      </c>
      <c r="C152" s="11" t="inlineStr">
        <is>
          <t>2026-03-05</t>
        </is>
      </c>
      <c r="D152" s="11" t="n">
        <v>9</v>
      </c>
      <c r="E152" s="11" t="inlineStr"/>
      <c r="F152" s="12" t="n">
        <v>9</v>
      </c>
      <c r="G152" s="11" t="inlineStr">
        <is>
          <t>Simplify</t>
        </is>
      </c>
      <c r="H152" s="10" t="inlineStr">
        <is>
          <t>Salem, OR</t>
        </is>
      </c>
      <c r="I152" s="13">
        <f>HYPERLINK("https://www.agilityrobotics.com/about/job-post?gh_jid=5818356004","Open")</f>
        <v/>
      </c>
      <c r="J152" s="11" t="inlineStr">
        <is>
          <t>No</t>
        </is>
      </c>
      <c r="K152" s="11" t="inlineStr"/>
      <c r="L152" s="10" t="inlineStr"/>
      <c r="M152" s="10" t="inlineStr"/>
      <c r="N152" s="10" t="inlineStr"/>
      <c r="O152" s="10" t="inlineStr"/>
    </row>
    <row r="153">
      <c r="A153" s="6" t="inlineStr">
        <is>
          <t>Part Time Student - Software Engineer</t>
        </is>
      </c>
      <c r="B153" s="6" t="inlineStr">
        <is>
          <t>John Deere</t>
        </is>
      </c>
      <c r="C153" s="7" t="inlineStr">
        <is>
          <t>2026-03-05</t>
        </is>
      </c>
      <c r="D153" s="7" t="n">
        <v>9</v>
      </c>
      <c r="E153" s="7" t="inlineStr"/>
      <c r="F153" s="19" t="n">
        <v>7</v>
      </c>
      <c r="G153" s="7" t="inlineStr">
        <is>
          <t>Simplify</t>
        </is>
      </c>
      <c r="H153" s="6" t="inlineStr">
        <is>
          <t>Ames, IA</t>
        </is>
      </c>
      <c r="I153" s="9">
        <f>HYPERLINK("https://johndeere.eightfold.ai/careers/job/137479561561","Open")</f>
        <v/>
      </c>
      <c r="J153" s="7" t="inlineStr">
        <is>
          <t>No</t>
        </is>
      </c>
      <c r="K153" s="7" t="inlineStr"/>
      <c r="L153" s="6" t="inlineStr"/>
      <c r="M153" s="6" t="inlineStr"/>
      <c r="N153" s="6" t="inlineStr"/>
      <c r="O153" s="6" t="inlineStr"/>
    </row>
    <row r="154">
      <c r="A154" s="10" t="inlineStr">
        <is>
          <t>Device Software Engineer Intern</t>
        </is>
      </c>
      <c r="B154" s="10" t="inlineStr">
        <is>
          <t>Span</t>
        </is>
      </c>
      <c r="C154" s="11" t="inlineStr">
        <is>
          <t>2026-03-05</t>
        </is>
      </c>
      <c r="D154" s="11" t="n">
        <v>9</v>
      </c>
      <c r="E154" s="11" t="inlineStr"/>
      <c r="F154" s="12" t="n">
        <v>7</v>
      </c>
      <c r="G154" s="11" t="inlineStr">
        <is>
          <t>Simplify</t>
        </is>
      </c>
      <c r="H154" s="10" t="inlineStr">
        <is>
          <t>SF</t>
        </is>
      </c>
      <c r="I154" s="13">
        <f>HYPERLINK("https://jobs.ashbyhq.com/span/645d983c-8fbf-4a12-9df7-2a0466428197/application","Open")</f>
        <v/>
      </c>
      <c r="J154" s="11" t="inlineStr">
        <is>
          <t>No</t>
        </is>
      </c>
      <c r="K154" s="11" t="inlineStr"/>
      <c r="L154" s="10" t="inlineStr"/>
      <c r="M154" s="10" t="inlineStr"/>
      <c r="N154" s="10" t="inlineStr"/>
      <c r="O154" s="10" t="inlineStr"/>
    </row>
    <row r="155">
      <c r="A155" s="22" t="inlineStr">
        <is>
          <t>Software Engineer Intern</t>
        </is>
      </c>
      <c r="B155" s="22" t="inlineStr">
        <is>
          <t>Tatari</t>
        </is>
      </c>
      <c r="C155" s="23" t="inlineStr">
        <is>
          <t>2026-03-05</t>
        </is>
      </c>
      <c r="D155" s="23" t="n">
        <v>9</v>
      </c>
      <c r="E155" s="23" t="inlineStr">
        <is>
          <t>NY</t>
        </is>
      </c>
      <c r="F155" s="24" t="n">
        <v>7</v>
      </c>
      <c r="G155" s="23" t="inlineStr">
        <is>
          <t>Simplify</t>
        </is>
      </c>
      <c r="H155" s="22" t="inlineStr">
        <is>
          <t>SF, LA, NYC</t>
        </is>
      </c>
      <c r="I155" s="25">
        <f>HYPERLINK("https://job-boards.greenhouse.io/tatari/jobs/8451506002","Open")</f>
        <v/>
      </c>
      <c r="J155" s="23" t="inlineStr">
        <is>
          <t>No</t>
        </is>
      </c>
      <c r="K155" s="23" t="inlineStr"/>
      <c r="L155" s="22" t="inlineStr"/>
      <c r="M155" s="22" t="inlineStr"/>
      <c r="N155" s="22" t="inlineStr"/>
      <c r="O155" s="22" t="inlineStr"/>
    </row>
    <row r="156">
      <c r="A156" s="22" t="inlineStr">
        <is>
          <t>Software Engineer Intern</t>
        </is>
      </c>
      <c r="B156" s="22" t="inlineStr">
        <is>
          <t>Tatari</t>
        </is>
      </c>
      <c r="C156" s="23" t="inlineStr">
        <is>
          <t>2026-03-05</t>
        </is>
      </c>
      <c r="D156" s="23" t="n">
        <v>9</v>
      </c>
      <c r="E156" s="23" t="inlineStr">
        <is>
          <t>NY</t>
        </is>
      </c>
      <c r="F156" s="24" t="n">
        <v>7</v>
      </c>
      <c r="G156" s="23" t="inlineStr">
        <is>
          <t>Simplify</t>
        </is>
      </c>
      <c r="H156" s="22" t="inlineStr">
        <is>
          <t>NYC</t>
        </is>
      </c>
      <c r="I156" s="25">
        <f>HYPERLINK("https://job-boards.greenhouse.io/tatari/jobs/8451505002","Open")</f>
        <v/>
      </c>
      <c r="J156" s="23" t="inlineStr">
        <is>
          <t>No</t>
        </is>
      </c>
      <c r="K156" s="23" t="inlineStr"/>
      <c r="L156" s="22" t="inlineStr"/>
      <c r="M156" s="22" t="inlineStr"/>
      <c r="N156" s="22" t="inlineStr"/>
      <c r="O156" s="22" t="inlineStr"/>
    </row>
    <row r="157">
      <c r="A157" s="22" t="inlineStr">
        <is>
          <t>Software Engineer Intern</t>
        </is>
      </c>
      <c r="B157" s="22" t="inlineStr">
        <is>
          <t>Tatari</t>
        </is>
      </c>
      <c r="C157" s="23" t="inlineStr">
        <is>
          <t>2026-03-05</t>
        </is>
      </c>
      <c r="D157" s="23" t="n">
        <v>9</v>
      </c>
      <c r="E157" s="23" t="inlineStr">
        <is>
          <t>NY</t>
        </is>
      </c>
      <c r="F157" s="24" t="n">
        <v>7</v>
      </c>
      <c r="G157" s="23" t="inlineStr">
        <is>
          <t>Simplify</t>
        </is>
      </c>
      <c r="H157" s="22" t="inlineStr">
        <is>
          <t>SF, LA, NYC</t>
        </is>
      </c>
      <c r="I157" s="25">
        <f>HYPERLINK("https://job-boards.greenhouse.io/tatari/jobs/8451504002","Open")</f>
        <v/>
      </c>
      <c r="J157" s="23" t="inlineStr">
        <is>
          <t>No</t>
        </is>
      </c>
      <c r="K157" s="23" t="inlineStr"/>
      <c r="L157" s="22" t="inlineStr"/>
      <c r="M157" s="22" t="inlineStr"/>
      <c r="N157" s="22" t="inlineStr"/>
      <c r="O157" s="22" t="inlineStr"/>
    </row>
    <row r="158">
      <c r="A158" s="10" t="inlineStr">
        <is>
          <t>Software Developer Intern</t>
        </is>
      </c>
      <c r="B158" s="10" t="inlineStr">
        <is>
          <t>ASSA ABLOY</t>
        </is>
      </c>
      <c r="C158" s="11" t="inlineStr">
        <is>
          <t>2026-03-05</t>
        </is>
      </c>
      <c r="D158" s="11" t="n">
        <v>9</v>
      </c>
      <c r="E158" s="11" t="inlineStr">
        <is>
          <t>CT</t>
        </is>
      </c>
      <c r="F158" s="12" t="n">
        <v>7</v>
      </c>
      <c r="G158" s="11" t="inlineStr">
        <is>
          <t>Simplify</t>
        </is>
      </c>
      <c r="H158" s="10" t="inlineStr">
        <is>
          <t>New Britain, CT</t>
        </is>
      </c>
      <c r="I158" s="13">
        <f>HYPERLINK("https://assaabloy.jobs2web.com/job/New-Haven-Software-Developer-Intern-CT-06511/1370661333/?ats=successfactors","Open")</f>
        <v/>
      </c>
      <c r="J158" s="11" t="inlineStr">
        <is>
          <t>No</t>
        </is>
      </c>
      <c r="K158" s="11" t="inlineStr"/>
      <c r="L158" s="10" t="inlineStr"/>
      <c r="M158" s="10" t="inlineStr"/>
      <c r="N158" s="10" t="inlineStr"/>
      <c r="O158" s="10" t="inlineStr"/>
    </row>
    <row r="159">
      <c r="A159" s="6" t="inlineStr">
        <is>
          <t>Software Engineer Intern</t>
        </is>
      </c>
      <c r="B159" s="6" t="inlineStr">
        <is>
          <t>Peraton</t>
        </is>
      </c>
      <c r="C159" s="7" t="inlineStr">
        <is>
          <t>2026-03-05</t>
        </is>
      </c>
      <c r="D159" s="7" t="n">
        <v>9</v>
      </c>
      <c r="E159" s="7" t="inlineStr"/>
      <c r="F159" s="19" t="n">
        <v>7</v>
      </c>
      <c r="G159" s="7" t="inlineStr">
        <is>
          <t>Simplify</t>
        </is>
      </c>
      <c r="H159" s="6" t="inlineStr">
        <is>
          <t>Hill AFB, UT</t>
        </is>
      </c>
      <c r="I159" s="9">
        <f>HYPERLINK("https://careers-peraton.icims.com/jobs/164209/job?mobile=true&amp;needsRedirect=false","Open")</f>
        <v/>
      </c>
      <c r="J159" s="7" t="inlineStr">
        <is>
          <t>No</t>
        </is>
      </c>
      <c r="K159" s="7" t="inlineStr"/>
      <c r="L159" s="6" t="inlineStr"/>
      <c r="M159" s="6" t="inlineStr"/>
      <c r="N159" s="6" t="inlineStr"/>
      <c r="O159" s="6" t="inlineStr"/>
    </row>
    <row r="160">
      <c r="A160" s="10" t="inlineStr">
        <is>
          <t>Software Engineer Intern - Fraud</t>
        </is>
      </c>
      <c r="B160" s="10" t="inlineStr">
        <is>
          <t xml:space="preserve"> CCC Intelligent Solutions</t>
        </is>
      </c>
      <c r="C160" s="11" t="inlineStr">
        <is>
          <t>2026-03-05</t>
        </is>
      </c>
      <c r="D160" s="11" t="n">
        <v>9</v>
      </c>
      <c r="E160" s="11" t="inlineStr">
        <is>
          <t>IL</t>
        </is>
      </c>
      <c r="F160" s="12" t="n">
        <v>7</v>
      </c>
      <c r="G160" s="11" t="inlineStr">
        <is>
          <t>Simplify</t>
        </is>
      </c>
      <c r="H160" s="10" t="inlineStr">
        <is>
          <t>Chicago, IL</t>
        </is>
      </c>
      <c r="I160" s="13">
        <f>HYPERLINK("https://cccis.wd1.myworkdayjobs.com/broadbean_external/job/Chicago-Green-St-IL/Software-Engineer-Intern---Fraud-Summer-2026_0014505","Open")</f>
        <v/>
      </c>
      <c r="J160" s="11" t="inlineStr">
        <is>
          <t>No</t>
        </is>
      </c>
      <c r="K160" s="11" t="inlineStr"/>
      <c r="L160" s="10" t="inlineStr"/>
      <c r="M160" s="10" t="inlineStr"/>
      <c r="N160" s="10" t="inlineStr"/>
      <c r="O160" s="10" t="inlineStr"/>
    </row>
    <row r="161">
      <c r="A161" s="6" t="inlineStr">
        <is>
          <t>Software Engineer Intern - Payments</t>
        </is>
      </c>
      <c r="B161" s="6" t="inlineStr">
        <is>
          <t xml:space="preserve"> CCC Intelligent Solutions</t>
        </is>
      </c>
      <c r="C161" s="7" t="inlineStr">
        <is>
          <t>2026-03-05</t>
        </is>
      </c>
      <c r="D161" s="7" t="n">
        <v>9</v>
      </c>
      <c r="E161" s="7" t="inlineStr">
        <is>
          <t>IL</t>
        </is>
      </c>
      <c r="F161" s="19" t="n">
        <v>7</v>
      </c>
      <c r="G161" s="7" t="inlineStr">
        <is>
          <t>Simplify</t>
        </is>
      </c>
      <c r="H161" s="6" t="inlineStr">
        <is>
          <t>Chicago, IL</t>
        </is>
      </c>
      <c r="I161" s="9">
        <f>HYPERLINK("https://cccis.wd1.myworkdayjobs.com/broadbean_external/job/Chicago-Green-St-IL/Software-Engineer-Intern---Payments-Summer-2026_0014504","Open")</f>
        <v/>
      </c>
      <c r="J161" s="7" t="inlineStr">
        <is>
          <t>No</t>
        </is>
      </c>
      <c r="K161" s="7" t="inlineStr"/>
      <c r="L161" s="6" t="inlineStr"/>
      <c r="M161" s="6" t="inlineStr"/>
      <c r="N161" s="6" t="inlineStr"/>
      <c r="O161" s="6" t="inlineStr"/>
    </row>
    <row r="162">
      <c r="A162" s="10" t="inlineStr">
        <is>
          <t>Applied Artificial Intelligence &amp; Autonomous Systems Intern</t>
        </is>
      </c>
      <c r="B162" s="10" t="inlineStr">
        <is>
          <t>Argonne National Laboratory</t>
        </is>
      </c>
      <c r="C162" s="11" t="inlineStr">
        <is>
          <t>2026-03-05</t>
        </is>
      </c>
      <c r="D162" s="11" t="n">
        <v>9</v>
      </c>
      <c r="E162" s="11" t="inlineStr">
        <is>
          <t>IL</t>
        </is>
      </c>
      <c r="F162" s="18" t="n">
        <v>4</v>
      </c>
      <c r="G162" s="11" t="inlineStr">
        <is>
          <t>Simplify</t>
        </is>
      </c>
      <c r="H162" s="10" t="inlineStr">
        <is>
          <t>Woodridge, IL</t>
        </is>
      </c>
      <c r="I162" s="13">
        <f>HYPERLINK("https://argonne.wd1.myworkdayjobs.com/EDU_PUB/job/Lemont-IL-USA/Applied-Artificial-Intelligence---Autonomous-Systems-Intern_422211","Open")</f>
        <v/>
      </c>
      <c r="J162" s="11" t="inlineStr">
        <is>
          <t>No</t>
        </is>
      </c>
      <c r="K162" s="11" t="inlineStr"/>
      <c r="L162" s="10" t="inlineStr"/>
      <c r="M162" s="10" t="inlineStr"/>
      <c r="N162" s="10" t="inlineStr"/>
      <c r="O162" s="10" t="inlineStr"/>
    </row>
    <row r="163">
      <c r="A163" s="6" t="inlineStr">
        <is>
          <t>Software Engineering Intern</t>
        </is>
      </c>
      <c r="B163" s="6" t="inlineStr">
        <is>
          <t>Taara</t>
        </is>
      </c>
      <c r="C163" s="7" t="inlineStr">
        <is>
          <t>2026-03-05</t>
        </is>
      </c>
      <c r="D163" s="7" t="n">
        <v>9</v>
      </c>
      <c r="E163" s="7" t="inlineStr">
        <is>
          <t>CA</t>
        </is>
      </c>
      <c r="F163" s="20" t="n">
        <v>11</v>
      </c>
      <c r="G163" s="7" t="inlineStr">
        <is>
          <t>Simplify</t>
        </is>
      </c>
      <c r="H163" s="6" t="inlineStr">
        <is>
          <t>Sunnyvale, CA</t>
        </is>
      </c>
      <c r="I163" s="9">
        <f>HYPERLINK("https://jobs.ashbyhq.com/taaraconnect/ed52ef53-dca2-433e-a2b7-6003d8be7ea2/application","Open")</f>
        <v/>
      </c>
      <c r="J163" s="7" t="inlineStr">
        <is>
          <t>No</t>
        </is>
      </c>
      <c r="K163" s="7" t="inlineStr"/>
      <c r="L163" s="6" t="inlineStr"/>
      <c r="M163" s="6" t="inlineStr"/>
      <c r="N163" s="6" t="inlineStr"/>
      <c r="O163" s="6" t="inlineStr"/>
    </row>
    <row r="164">
      <c r="A164" s="10" t="inlineStr">
        <is>
          <t>Software Engineer Fulltime Intern</t>
        </is>
      </c>
      <c r="B164" s="10" t="inlineStr">
        <is>
          <t>State Street</t>
        </is>
      </c>
      <c r="C164" s="11" t="inlineStr">
        <is>
          <t>2026-03-04</t>
        </is>
      </c>
      <c r="D164" s="11" t="n">
        <v>10</v>
      </c>
      <c r="E164" s="11" t="inlineStr">
        <is>
          <t>MA</t>
        </is>
      </c>
      <c r="F164" s="12" t="n">
        <v>7</v>
      </c>
      <c r="G164" s="11" t="inlineStr">
        <is>
          <t>Simplify</t>
        </is>
      </c>
      <c r="H164" s="10" t="inlineStr">
        <is>
          <t>Quincy, MA</t>
        </is>
      </c>
      <c r="I164" s="13">
        <f>HYPERLINK("https://statestreet.wd1.myworkdayjobs.com/Global/job/Quincy-Massachusetts/Software-Engineer--Fulltime-Internship--July---Dec-2026-_R-784414","Open")</f>
        <v/>
      </c>
      <c r="J164" s="11" t="inlineStr">
        <is>
          <t>No</t>
        </is>
      </c>
      <c r="K164" s="11" t="inlineStr"/>
      <c r="L164" s="10" t="inlineStr"/>
      <c r="M164" s="10" t="inlineStr"/>
      <c r="N164" s="10" t="inlineStr"/>
      <c r="O164" s="10" t="inlineStr"/>
    </row>
    <row r="165">
      <c r="A165" s="6" t="inlineStr">
        <is>
          <t>Intern - Audio Digital Signal Processing</t>
        </is>
      </c>
      <c r="B165" s="6" t="inlineStr">
        <is>
          <t>Samsung Research America</t>
        </is>
      </c>
      <c r="C165" s="7" t="inlineStr">
        <is>
          <t>2026-03-04</t>
        </is>
      </c>
      <c r="D165" s="7" t="n">
        <v>10</v>
      </c>
      <c r="E165" s="7" t="inlineStr">
        <is>
          <t>CA</t>
        </is>
      </c>
      <c r="F165" s="8" t="n">
        <v>4</v>
      </c>
      <c r="G165" s="7" t="inlineStr">
        <is>
          <t>Simplify</t>
        </is>
      </c>
      <c r="H165" s="6" t="inlineStr">
        <is>
          <t>Santa Clarita, CA</t>
        </is>
      </c>
      <c r="I165" s="9">
        <f>HYPERLINK("https://job-boards.greenhouse.io/samsungresearchamericainternship/jobs/8414810002","Open")</f>
        <v/>
      </c>
      <c r="J165" s="7" t="inlineStr">
        <is>
          <t>No</t>
        </is>
      </c>
      <c r="K165" s="7" t="inlineStr"/>
      <c r="L165" s="6" t="inlineStr"/>
      <c r="M165" s="6" t="inlineStr"/>
      <c r="N165" s="6" t="inlineStr"/>
      <c r="O165" s="6" t="inlineStr"/>
    </row>
    <row r="166">
      <c r="A166" s="10" t="inlineStr">
        <is>
          <t>Intern – Software Engineering</t>
        </is>
      </c>
      <c r="B166" s="10" t="inlineStr">
        <is>
          <t xml:space="preserve">Coherent </t>
        </is>
      </c>
      <c r="C166" s="11" t="inlineStr">
        <is>
          <t>2026-03-04</t>
        </is>
      </c>
      <c r="D166" s="11" t="n">
        <v>10</v>
      </c>
      <c r="E166" s="11" t="inlineStr">
        <is>
          <t>CA</t>
        </is>
      </c>
      <c r="F166" s="21" t="n">
        <v>11</v>
      </c>
      <c r="G166" s="11" t="inlineStr">
        <is>
          <t>Simplify</t>
        </is>
      </c>
      <c r="H166" s="10" t="inlineStr">
        <is>
          <t>Fremont, CA</t>
        </is>
      </c>
      <c r="I166" s="13">
        <f>HYPERLINK("https://hcwp.fa.us2.oraclecloud.com/hcmUI/CandidateExperience/en/sites/CX_1/job/2010893","Open")</f>
        <v/>
      </c>
      <c r="J166" s="11" t="inlineStr">
        <is>
          <t>No</t>
        </is>
      </c>
      <c r="K166" s="11" t="inlineStr"/>
      <c r="L166" s="10" t="inlineStr"/>
      <c r="M166" s="10" t="inlineStr"/>
      <c r="N166" s="10" t="inlineStr"/>
      <c r="O166" s="10" t="inlineStr"/>
    </row>
    <row r="167">
      <c r="A167" s="6" t="inlineStr">
        <is>
          <t>Software Engineering Intern</t>
        </is>
      </c>
      <c r="B167" s="6" t="inlineStr">
        <is>
          <t>Johnson Controls</t>
        </is>
      </c>
      <c r="C167" s="7" t="inlineStr">
        <is>
          <t>2026-03-04</t>
        </is>
      </c>
      <c r="D167" s="7" t="n">
        <v>10</v>
      </c>
      <c r="E167" s="7" t="inlineStr">
        <is>
          <t>MI</t>
        </is>
      </c>
      <c r="F167" s="20" t="n">
        <v>14</v>
      </c>
      <c r="G167" s="7" t="inlineStr">
        <is>
          <t>Simplify</t>
        </is>
      </c>
      <c r="H167" s="6" t="inlineStr">
        <is>
          <t>Milwaukee, WI</t>
        </is>
      </c>
      <c r="I167" s="9">
        <f>HYPERLINK("https://jci.wd5.myworkdayjobs.com/JCI/job/Glendale-Wisconsin-United-States-of-America/Software-Engineering-Intern_WD30262593","Open")</f>
        <v/>
      </c>
      <c r="J167" s="7" t="inlineStr">
        <is>
          <t>No</t>
        </is>
      </c>
      <c r="K167" s="7" t="inlineStr"/>
      <c r="L167" s="6" t="inlineStr"/>
      <c r="M167" s="6" t="inlineStr"/>
      <c r="N167" s="6" t="inlineStr"/>
      <c r="O167" s="6" t="inlineStr"/>
    </row>
    <row r="168">
      <c r="A168" s="10" t="inlineStr">
        <is>
          <t>Software Engineering Intern - HP IQ</t>
        </is>
      </c>
      <c r="B168" s="10" t="inlineStr">
        <is>
          <t>Hewlett Packard (HP)</t>
        </is>
      </c>
      <c r="C168" s="11" t="inlineStr">
        <is>
          <t>2026-03-04</t>
        </is>
      </c>
      <c r="D168" s="11" t="n">
        <v>10</v>
      </c>
      <c r="E168" s="11" t="inlineStr"/>
      <c r="F168" s="21" t="n">
        <v>11</v>
      </c>
      <c r="G168" s="11" t="inlineStr">
        <is>
          <t>Simplify</t>
        </is>
      </c>
      <c r="H168" s="10" t="inlineStr">
        <is>
          <t>SF</t>
        </is>
      </c>
      <c r="I168" s="13">
        <f>HYPERLINK("https://hp.wd5.myworkdayjobs.com/EXTEU-AC-CareerSite/job/San-Francisco-California-United-States-of-America/Software-Engineering-Intern--Device-Experiences---HP-IQ_3160497","Open")</f>
        <v/>
      </c>
      <c r="J168" s="11" t="inlineStr">
        <is>
          <t>No</t>
        </is>
      </c>
      <c r="K168" s="11" t="inlineStr"/>
      <c r="L168" s="10" t="inlineStr"/>
      <c r="M168" s="10" t="inlineStr"/>
      <c r="N168" s="10" t="inlineStr"/>
      <c r="O168" s="10" t="inlineStr"/>
    </row>
    <row r="169">
      <c r="A169" s="6" t="inlineStr">
        <is>
          <t>Data Science Intern</t>
        </is>
      </c>
      <c r="B169" s="6" t="inlineStr">
        <is>
          <t>Faire</t>
        </is>
      </c>
      <c r="C169" s="7" t="inlineStr">
        <is>
          <t>2026-03-04</t>
        </is>
      </c>
      <c r="D169" s="7" t="n">
        <v>10</v>
      </c>
      <c r="E169" s="7" t="inlineStr">
        <is>
          <t>CA</t>
        </is>
      </c>
      <c r="F169" s="8" t="n">
        <v>4</v>
      </c>
      <c r="G169" s="7" t="inlineStr">
        <is>
          <t>Simplify</t>
        </is>
      </c>
      <c r="H169" s="6" t="inlineStr">
        <is>
          <t>Ontario, Canada</t>
        </is>
      </c>
      <c r="I169" s="9">
        <f>HYPERLINK("https://boards.greenhouse.io/faire/jobs/8449636002","Open")</f>
        <v/>
      </c>
      <c r="J169" s="7" t="inlineStr">
        <is>
          <t>No</t>
        </is>
      </c>
      <c r="K169" s="7" t="inlineStr"/>
      <c r="L169" s="6" t="inlineStr"/>
      <c r="M169" s="6" t="inlineStr"/>
      <c r="N169" s="6" t="inlineStr"/>
      <c r="O169" s="6" t="inlineStr"/>
    </row>
    <row r="170">
      <c r="A170" s="10" t="inlineStr">
        <is>
          <t>Software Engineer Intern - AI/ML</t>
        </is>
      </c>
      <c r="B170" s="10" t="inlineStr">
        <is>
          <t>KLA</t>
        </is>
      </c>
      <c r="C170" s="11" t="inlineStr">
        <is>
          <t>2026-03-04</t>
        </is>
      </c>
      <c r="D170" s="11" t="n">
        <v>10</v>
      </c>
      <c r="E170" s="11" t="inlineStr">
        <is>
          <t>CA</t>
        </is>
      </c>
      <c r="F170" s="12" t="n">
        <v>9</v>
      </c>
      <c r="G170" s="11" t="inlineStr">
        <is>
          <t>Simplify</t>
        </is>
      </c>
      <c r="H170" s="10" t="inlineStr">
        <is>
          <t>Milpitas, CA, Austin, TX</t>
        </is>
      </c>
      <c r="I170" s="13">
        <f>HYPERLINK("https://kla.wd1.myworkdayjobs.com/Search/job/Austin-TX/Software-Engineer--AI-ML--Intern_2532241-1","Open")</f>
        <v/>
      </c>
      <c r="J170" s="11" t="inlineStr">
        <is>
          <t>No</t>
        </is>
      </c>
      <c r="K170" s="11" t="inlineStr"/>
      <c r="L170" s="10" t="inlineStr"/>
      <c r="M170" s="10" t="inlineStr"/>
      <c r="N170" s="10" t="inlineStr"/>
      <c r="O170" s="10" t="inlineStr"/>
    </row>
    <row r="171">
      <c r="A171" s="6" t="inlineStr">
        <is>
          <t>Software Engineer Intern - Toronto - Summer 2026</t>
        </is>
      </c>
      <c r="B171" s="6" t="inlineStr">
        <is>
          <t>Snowflake</t>
        </is>
      </c>
      <c r="C171" s="7" t="inlineStr">
        <is>
          <t>2026-03-04</t>
        </is>
      </c>
      <c r="D171" s="7" t="n">
        <v>10</v>
      </c>
      <c r="E171" s="7" t="inlineStr">
        <is>
          <t>CA</t>
        </is>
      </c>
      <c r="F171" s="19" t="n">
        <v>7</v>
      </c>
      <c r="G171" s="7" t="inlineStr">
        <is>
          <t>Simplify</t>
        </is>
      </c>
      <c r="H171" s="6" t="inlineStr">
        <is>
          <t>Toronto, ON, Canada</t>
        </is>
      </c>
      <c r="I171" s="9">
        <f>HYPERLINK("https://jobs.ashbyhq.com/snowflake/449c1320-82a0-4bd4-8be6-003265ee0764/application","Open")</f>
        <v/>
      </c>
      <c r="J171" s="7" t="inlineStr">
        <is>
          <t>No</t>
        </is>
      </c>
      <c r="K171" s="7" t="inlineStr"/>
      <c r="L171" s="6" t="inlineStr"/>
      <c r="M171" s="6" t="inlineStr"/>
      <c r="N171" s="6" t="inlineStr"/>
      <c r="O171" s="6" t="inlineStr"/>
    </row>
    <row r="172">
      <c r="A172" s="10" t="inlineStr">
        <is>
          <t>Intern Software Engineering</t>
        </is>
      </c>
      <c r="B172" s="10" t="inlineStr">
        <is>
          <t xml:space="preserve">ACI Worldwide </t>
        </is>
      </c>
      <c r="C172" s="11" t="inlineStr">
        <is>
          <t>2026-03-04</t>
        </is>
      </c>
      <c r="D172" s="11" t="n">
        <v>10</v>
      </c>
      <c r="E172" s="11" t="inlineStr"/>
      <c r="F172" s="21" t="n">
        <v>11</v>
      </c>
      <c r="G172" s="11" t="inlineStr">
        <is>
          <t>Simplify</t>
        </is>
      </c>
      <c r="H172" s="10" t="inlineStr">
        <is>
          <t>Omaha, NE</t>
        </is>
      </c>
      <c r="I172" s="13">
        <f>HYPERLINK("https://ebwg.fa.us2.oraclecloud.com/hcmUI/CandidateExperience/en/sites/CX/job/18763","Open")</f>
        <v/>
      </c>
      <c r="J172" s="11" t="inlineStr">
        <is>
          <t>No</t>
        </is>
      </c>
      <c r="K172" s="11" t="inlineStr"/>
      <c r="L172" s="10" t="inlineStr"/>
      <c r="M172" s="10" t="inlineStr"/>
      <c r="N172" s="10" t="inlineStr"/>
      <c r="O172" s="10" t="inlineStr"/>
    </row>
    <row r="173">
      <c r="A173" s="6" t="inlineStr">
        <is>
          <t>Acute Care Hardware Systems Engineering Co-op</t>
        </is>
      </c>
      <c r="B173" s="6" t="inlineStr">
        <is>
          <t>Werfen</t>
        </is>
      </c>
      <c r="C173" s="7" t="inlineStr">
        <is>
          <t>2026-03-04</t>
        </is>
      </c>
      <c r="D173" s="7" t="n">
        <v>10</v>
      </c>
      <c r="E173" s="7" t="inlineStr">
        <is>
          <t>MA</t>
        </is>
      </c>
      <c r="F173" s="8" t="n">
        <v>5</v>
      </c>
      <c r="G173" s="7" t="inlineStr">
        <is>
          <t>Simplify</t>
        </is>
      </c>
      <c r="H173" s="6" t="inlineStr">
        <is>
          <t>Bedford, MA</t>
        </is>
      </c>
      <c r="I173" s="9">
        <f>HYPERLINK("https://careers-werfen.icims.com/jobs/10072/job?mobile=true&amp;needsRedirect=false","Open")</f>
        <v/>
      </c>
      <c r="J173" s="7" t="inlineStr">
        <is>
          <t>No</t>
        </is>
      </c>
      <c r="K173" s="7" t="inlineStr"/>
      <c r="L173" s="6" t="inlineStr"/>
      <c r="M173" s="6" t="inlineStr"/>
      <c r="N173" s="6" t="inlineStr"/>
      <c r="O173" s="6" t="inlineStr"/>
    </row>
    <row r="174">
      <c r="A174" s="10" t="inlineStr">
        <is>
          <t>Autonomy Engineer Intern Summer 2026</t>
        </is>
      </c>
      <c r="B174" s="10" t="inlineStr">
        <is>
          <t>Skydio</t>
        </is>
      </c>
      <c r="C174" s="11" t="inlineStr">
        <is>
          <t>2026-03-04</t>
        </is>
      </c>
      <c r="D174" s="11" t="n">
        <v>10</v>
      </c>
      <c r="E174" s="11" t="inlineStr">
        <is>
          <t>CA</t>
        </is>
      </c>
      <c r="F174" s="18" t="n">
        <v>4</v>
      </c>
      <c r="G174" s="11" t="inlineStr">
        <is>
          <t>Simplify</t>
        </is>
      </c>
      <c r="H174" s="10" t="inlineStr">
        <is>
          <t>San Mateo, CA</t>
        </is>
      </c>
      <c r="I174" s="13">
        <f>HYPERLINK("https://jobs.ashbyhq.com/skydio/17f6173b-c96f-4b02-a6b5-da0a91ad95e5/application","Open")</f>
        <v/>
      </c>
      <c r="J174" s="11" t="inlineStr">
        <is>
          <t>No</t>
        </is>
      </c>
      <c r="K174" s="11" t="inlineStr"/>
      <c r="L174" s="10" t="inlineStr"/>
      <c r="M174" s="10" t="inlineStr"/>
      <c r="N174" s="10" t="inlineStr"/>
      <c r="O174" s="10" t="inlineStr"/>
    </row>
    <row r="175">
      <c r="A175" s="6" t="inlineStr">
        <is>
          <t>Autonomy Engineer Intern - Computer Vision/Deep Learning Summer 2026</t>
        </is>
      </c>
      <c r="B175" s="6" t="inlineStr">
        <is>
          <t>Skydio</t>
        </is>
      </c>
      <c r="C175" s="7" t="inlineStr">
        <is>
          <t>2026-03-04</t>
        </is>
      </c>
      <c r="D175" s="7" t="n">
        <v>10</v>
      </c>
      <c r="E175" s="7" t="inlineStr">
        <is>
          <t>CA</t>
        </is>
      </c>
      <c r="F175" s="19" t="n">
        <v>7</v>
      </c>
      <c r="G175" s="7" t="inlineStr">
        <is>
          <t>Simplify</t>
        </is>
      </c>
      <c r="H175" s="6" t="inlineStr">
        <is>
          <t>San Mateo, CA</t>
        </is>
      </c>
      <c r="I175" s="9">
        <f>HYPERLINK("https://jobs.ashbyhq.com/skydio/c84945f0-b8e0-4272-b636-265d6611a8eb/application","Open")</f>
        <v/>
      </c>
      <c r="J175" s="7" t="inlineStr">
        <is>
          <t>No</t>
        </is>
      </c>
      <c r="K175" s="7" t="inlineStr"/>
      <c r="L175" s="6" t="inlineStr"/>
      <c r="M175" s="6" t="inlineStr"/>
      <c r="N175" s="6" t="inlineStr"/>
      <c r="O175" s="6" t="inlineStr"/>
    </row>
    <row r="176">
      <c r="A176" s="10" t="inlineStr">
        <is>
          <t>Software Engineer Intern</t>
        </is>
      </c>
      <c r="B176" s="10" t="inlineStr">
        <is>
          <t>Mastercard</t>
        </is>
      </c>
      <c r="C176" s="11" t="inlineStr">
        <is>
          <t>2026-03-04</t>
        </is>
      </c>
      <c r="D176" s="11" t="n">
        <v>11</v>
      </c>
      <c r="E176" s="11" t="inlineStr"/>
      <c r="F176" s="12" t="n">
        <v>7</v>
      </c>
      <c r="G176" s="11" t="inlineStr">
        <is>
          <t>Simplify</t>
        </is>
      </c>
      <c r="H176" s="10" t="inlineStr">
        <is>
          <t>London, UK</t>
        </is>
      </c>
      <c r="I176" s="13">
        <f>HYPERLINK("https://mastercard.wd1.myworkdayjobs.com/Campus/job/London-England-Angel-Lane/Software-Engineer--Internship-Program-2026---London--England--UK_R-257380-1","Open")</f>
        <v/>
      </c>
      <c r="J176" s="11" t="inlineStr">
        <is>
          <t>No</t>
        </is>
      </c>
      <c r="K176" s="11" t="inlineStr"/>
      <c r="L176" s="10" t="inlineStr"/>
      <c r="M176" s="10" t="inlineStr"/>
      <c r="N176" s="10" t="inlineStr"/>
      <c r="O176" s="10" t="inlineStr"/>
    </row>
    <row r="177">
      <c r="A177" s="6" t="inlineStr">
        <is>
          <t>Software Engineer Intern</t>
        </is>
      </c>
      <c r="B177" s="6" t="inlineStr">
        <is>
          <t>Mastercard</t>
        </is>
      </c>
      <c r="C177" s="7" t="inlineStr">
        <is>
          <t>2026-03-04</t>
        </is>
      </c>
      <c r="D177" s="7" t="n">
        <v>11</v>
      </c>
      <c r="E177" s="7" t="inlineStr"/>
      <c r="F177" s="19" t="n">
        <v>7</v>
      </c>
      <c r="G177" s="7" t="inlineStr">
        <is>
          <t>Simplify</t>
        </is>
      </c>
      <c r="H177" s="6" t="inlineStr">
        <is>
          <t>London, UK</t>
        </is>
      </c>
      <c r="I177" s="9">
        <f>HYPERLINK("https://mastercard.wd1.myworkdayjobs.com/Public_Posting_Site/job/London-England-Angel-Lane/Software-Engineer--Internship-Program-2026---London--England--UK_R-257380","Open")</f>
        <v/>
      </c>
      <c r="J177" s="7" t="inlineStr">
        <is>
          <t>No</t>
        </is>
      </c>
      <c r="K177" s="7" t="inlineStr"/>
      <c r="L177" s="6" t="inlineStr"/>
      <c r="M177" s="6" t="inlineStr"/>
      <c r="N177" s="6" t="inlineStr"/>
      <c r="O177" s="6" t="inlineStr"/>
    </row>
    <row r="178">
      <c r="A178" s="10" t="inlineStr">
        <is>
          <t>Intern - Technology - Software Developer</t>
        </is>
      </c>
      <c r="B178" s="10" t="inlineStr">
        <is>
          <t>LPL Financial Holdings</t>
        </is>
      </c>
      <c r="C178" s="11" t="inlineStr">
        <is>
          <t>2026-03-03</t>
        </is>
      </c>
      <c r="D178" s="11" t="n">
        <v>11</v>
      </c>
      <c r="E178" s="11" t="inlineStr">
        <is>
          <t>CA</t>
        </is>
      </c>
      <c r="F178" s="18" t="n">
        <v>5</v>
      </c>
      <c r="G178" s="11" t="inlineStr">
        <is>
          <t>Simplify</t>
        </is>
      </c>
      <c r="H178" s="10" t="inlineStr">
        <is>
          <t>Fort Mill, SC, San Diego, CA, Austin, TX</t>
        </is>
      </c>
      <c r="I178" s="13">
        <f>HYPERLINK("https://lplfinancial.wd1.myworkdayjobs.com/university/job/San-Diego-CA/Internship-Summer-2026---Technology--Software-Development_R-046201","Open")</f>
        <v/>
      </c>
      <c r="J178" s="11" t="inlineStr">
        <is>
          <t>No</t>
        </is>
      </c>
      <c r="K178" s="11" t="inlineStr"/>
      <c r="L178" s="10" t="inlineStr"/>
      <c r="M178" s="10" t="inlineStr"/>
      <c r="N178" s="10" t="inlineStr"/>
      <c r="O178" s="10" t="inlineStr"/>
    </row>
    <row r="179">
      <c r="A179" s="6" t="inlineStr">
        <is>
          <t>Firmware Validation Tooling Intern</t>
        </is>
      </c>
      <c r="B179" s="6" t="inlineStr">
        <is>
          <t>Zoox</t>
        </is>
      </c>
      <c r="C179" s="7" t="inlineStr">
        <is>
          <t>2026-03-03</t>
        </is>
      </c>
      <c r="D179" s="7" t="n">
        <v>11</v>
      </c>
      <c r="E179" s="7" t="inlineStr">
        <is>
          <t>CA</t>
        </is>
      </c>
      <c r="F179" s="8" t="n">
        <v>5</v>
      </c>
      <c r="G179" s="7" t="inlineStr">
        <is>
          <t>Simplify</t>
        </is>
      </c>
      <c r="H179" s="6" t="inlineStr">
        <is>
          <t>San Mateo, CA</t>
        </is>
      </c>
      <c r="I179" s="9">
        <f>HYPERLINK("https://jobs.lever.co/zoox/fd2be6ec-162d-4955-802f-fb8d2de8b3c0/apply","Open")</f>
        <v/>
      </c>
      <c r="J179" s="7" t="inlineStr">
        <is>
          <t>No</t>
        </is>
      </c>
      <c r="K179" s="7" t="inlineStr"/>
      <c r="L179" s="6" t="inlineStr"/>
      <c r="M179" s="6" t="inlineStr"/>
      <c r="N179" s="6" t="inlineStr"/>
      <c r="O179" s="6" t="inlineStr"/>
    </row>
    <row r="180">
      <c r="A180" s="2" t="inlineStr">
        <is>
          <t>Software Engineering Intern</t>
        </is>
      </c>
      <c r="B180" s="2" t="inlineStr">
        <is>
          <t>Monarch Money</t>
        </is>
      </c>
      <c r="C180" s="3" t="inlineStr">
        <is>
          <t>2026-03-03</t>
        </is>
      </c>
      <c r="D180" s="3" t="n">
        <v>11</v>
      </c>
      <c r="E180" s="3" t="inlineStr">
        <is>
          <t>Remote</t>
        </is>
      </c>
      <c r="F180" s="35" t="n">
        <v>11</v>
      </c>
      <c r="G180" s="3" t="inlineStr">
        <is>
          <t>Simplify</t>
        </is>
      </c>
      <c r="H180" s="2" t="inlineStr">
        <is>
          <t>Remote in USA</t>
        </is>
      </c>
      <c r="I180" s="5">
        <f>HYPERLINK("https://jobs.ashbyhq.com/monarchmoney/b62fbd01-4082-4ddf-9a39-ec0ae1e526ee/application","Open")</f>
        <v/>
      </c>
      <c r="J180" s="3" t="inlineStr">
        <is>
          <t>No</t>
        </is>
      </c>
      <c r="K180" s="3" t="inlineStr"/>
      <c r="L180" s="2" t="inlineStr"/>
      <c r="M180" s="2" t="inlineStr"/>
      <c r="N180" s="2" t="inlineStr"/>
      <c r="O180" s="2" t="inlineStr"/>
    </row>
    <row r="181">
      <c r="A181" s="6" t="inlineStr">
        <is>
          <t>R&amp;D Software Engineering Internship</t>
        </is>
      </c>
      <c r="B181" s="6" t="inlineStr">
        <is>
          <t>Keysight Technologies</t>
        </is>
      </c>
      <c r="C181" s="7" t="inlineStr">
        <is>
          <t>2026-03-03</t>
        </is>
      </c>
      <c r="D181" s="7" t="n">
        <v>11</v>
      </c>
      <c r="E181" s="7" t="inlineStr">
        <is>
          <t>CO</t>
        </is>
      </c>
      <c r="F181" s="20" t="n">
        <v>11</v>
      </c>
      <c r="G181" s="7" t="inlineStr">
        <is>
          <t>Simplify</t>
        </is>
      </c>
      <c r="H181" s="6" t="inlineStr">
        <is>
          <t>Colorado Springs, CO</t>
        </is>
      </c>
      <c r="I181" s="9">
        <f>HYPERLINK("https://jobs.keysight.com/jobs/51836?lang=en-us&amp;icims=1","Open")</f>
        <v/>
      </c>
      <c r="J181" s="7" t="inlineStr">
        <is>
          <t>No</t>
        </is>
      </c>
      <c r="K181" s="7" t="inlineStr"/>
      <c r="L181" s="6" t="inlineStr"/>
      <c r="M181" s="6" t="inlineStr"/>
      <c r="N181" s="6" t="inlineStr"/>
      <c r="O181" s="6" t="inlineStr"/>
    </row>
    <row r="182">
      <c r="A182" s="22" t="inlineStr">
        <is>
          <t>Software Engineer Intern</t>
        </is>
      </c>
      <c r="B182" s="22" t="inlineStr">
        <is>
          <t>New York Post Holdings</t>
        </is>
      </c>
      <c r="C182" s="23" t="inlineStr">
        <is>
          <t>2026-03-03</t>
        </is>
      </c>
      <c r="D182" s="23" t="n">
        <v>11</v>
      </c>
      <c r="E182" s="23" t="inlineStr">
        <is>
          <t>NY</t>
        </is>
      </c>
      <c r="F182" s="24" t="n">
        <v>7</v>
      </c>
      <c r="G182" s="23" t="inlineStr">
        <is>
          <t>Simplify</t>
        </is>
      </c>
      <c r="H182" s="22" t="inlineStr">
        <is>
          <t>NYC</t>
        </is>
      </c>
      <c r="I182" s="25">
        <f>HYPERLINK("https://dowjones.wd1.myworkdayjobs.com/New_York_Post_Careers/job/NYC---1211-Ave-of-the-Americas/Software-Engineering-Intern_Job_Req_51878","Open")</f>
        <v/>
      </c>
      <c r="J182" s="23" t="inlineStr">
        <is>
          <t>No</t>
        </is>
      </c>
      <c r="K182" s="23" t="inlineStr"/>
      <c r="L182" s="22" t="inlineStr"/>
      <c r="M182" s="22" t="inlineStr"/>
      <c r="N182" s="22" t="inlineStr"/>
      <c r="O182" s="22" t="inlineStr"/>
    </row>
    <row r="183">
      <c r="A183" s="6" t="inlineStr">
        <is>
          <t>Software Engineer Co-op</t>
        </is>
      </c>
      <c r="B183" s="6" t="inlineStr">
        <is>
          <t>Johnson &amp; Johnson</t>
        </is>
      </c>
      <c r="C183" s="7" t="inlineStr">
        <is>
          <t>2026-03-03</t>
        </is>
      </c>
      <c r="D183" s="7" t="n">
        <v>11</v>
      </c>
      <c r="E183" s="7" t="inlineStr">
        <is>
          <t>OH</t>
        </is>
      </c>
      <c r="F183" s="19" t="n">
        <v>7</v>
      </c>
      <c r="G183" s="7" t="inlineStr">
        <is>
          <t>Simplify</t>
        </is>
      </c>
      <c r="H183" s="6" t="inlineStr">
        <is>
          <t>Cincinnati, OH</t>
        </is>
      </c>
      <c r="I183" s="9">
        <f>HYPERLINK("https://jj.wd5.myworkdayjobs.com/JJ/job/Cincinnati-Ohio-United-States-of-America/J-J-Surgery-Cincinnati--Software-Engineer-Co-op-Fall-2026_R-061673","Open")</f>
        <v/>
      </c>
      <c r="J183" s="7" t="inlineStr">
        <is>
          <t>No</t>
        </is>
      </c>
      <c r="K183" s="7" t="inlineStr"/>
      <c r="L183" s="6" t="inlineStr"/>
      <c r="M183" s="6" t="inlineStr"/>
      <c r="N183" s="6" t="inlineStr"/>
      <c r="O183" s="6" t="inlineStr"/>
    </row>
    <row r="184">
      <c r="A184" s="10" t="inlineStr">
        <is>
          <t>National Security Solutions – Internship – Digital Engineer Intern - Nss</t>
        </is>
      </c>
      <c r="B184" s="10" t="inlineStr">
        <is>
          <t>KBR</t>
        </is>
      </c>
      <c r="C184" s="11" t="inlineStr">
        <is>
          <t>2026-03-03</t>
        </is>
      </c>
      <c r="D184" s="11" t="n">
        <v>11</v>
      </c>
      <c r="E184" s="11" t="inlineStr">
        <is>
          <t>CA</t>
        </is>
      </c>
      <c r="F184" s="18" t="n">
        <v>4</v>
      </c>
      <c r="G184" s="11" t="inlineStr">
        <is>
          <t>Simplify</t>
        </is>
      </c>
      <c r="H184" s="10" t="inlineStr">
        <is>
          <t>El Segundo, CA</t>
        </is>
      </c>
      <c r="I184" s="13">
        <f>HYPERLINK("https://kbr.wd5.myworkdayjobs.com/KBR_Careers/job/El-Segundo-California/National-Security-Solutions--NSS--Internship---Digital-Engineer-Intern_R2119799","Open")</f>
        <v/>
      </c>
      <c r="J184" s="11" t="inlineStr">
        <is>
          <t>No</t>
        </is>
      </c>
      <c r="K184" s="11" t="inlineStr"/>
      <c r="L184" s="10" t="inlineStr"/>
      <c r="M184" s="10" t="inlineStr"/>
      <c r="N184" s="10" t="inlineStr"/>
      <c r="O184" s="10" t="inlineStr"/>
    </row>
    <row r="185">
      <c r="A185" s="6" t="inlineStr">
        <is>
          <t>National Security Solutions – Internship – Tactical vPATSOC Emulator Engineer Intern - Nss</t>
        </is>
      </c>
      <c r="B185" s="6" t="inlineStr">
        <is>
          <t>KBR</t>
        </is>
      </c>
      <c r="C185" s="7" t="inlineStr">
        <is>
          <t>2026-03-03</t>
        </is>
      </c>
      <c r="D185" s="7" t="n">
        <v>11</v>
      </c>
      <c r="E185" s="7" t="inlineStr">
        <is>
          <t>CA</t>
        </is>
      </c>
      <c r="F185" s="8" t="n">
        <v>4</v>
      </c>
      <c r="G185" s="7" t="inlineStr">
        <is>
          <t>Simplify</t>
        </is>
      </c>
      <c r="H185" s="6" t="inlineStr">
        <is>
          <t>El Segundo, CA</t>
        </is>
      </c>
      <c r="I185" s="9">
        <f>HYPERLINK("https://kbr.wd5.myworkdayjobs.com/KBR_Careers/job/El-Segundo-California/National-Security-Solutions--NSS--Internship---Tactical-vPATSOC-Emulator-Engineer-Intern_R2119801","Open")</f>
        <v/>
      </c>
      <c r="J185" s="7" t="inlineStr">
        <is>
          <t>No</t>
        </is>
      </c>
      <c r="K185" s="7" t="inlineStr"/>
      <c r="L185" s="6" t="inlineStr"/>
      <c r="M185" s="6" t="inlineStr"/>
      <c r="N185" s="6" t="inlineStr"/>
      <c r="O185" s="6" t="inlineStr"/>
    </row>
    <row r="186">
      <c r="A186" s="10" t="inlineStr">
        <is>
          <t>Software Engineer Intern</t>
        </is>
      </c>
      <c r="B186" s="10" t="inlineStr">
        <is>
          <t>SolarWinds</t>
        </is>
      </c>
      <c r="C186" s="11" t="inlineStr">
        <is>
          <t>2026-03-03</t>
        </is>
      </c>
      <c r="D186" s="11" t="n">
        <v>11</v>
      </c>
      <c r="E186" s="11" t="inlineStr">
        <is>
          <t>TX</t>
        </is>
      </c>
      <c r="F186" s="12" t="n">
        <v>7</v>
      </c>
      <c r="G186" s="11" t="inlineStr">
        <is>
          <t>Simplify</t>
        </is>
      </c>
      <c r="H186" s="10" t="inlineStr">
        <is>
          <t>Austin, TX</t>
        </is>
      </c>
      <c r="I186" s="13">
        <f>HYPERLINK("https://jobs.solarwinds.com/job-detail/?gh_jid=4644519005&amp;gh_jid=4644519005","Open")</f>
        <v/>
      </c>
      <c r="J186" s="11" t="inlineStr">
        <is>
          <t>No</t>
        </is>
      </c>
      <c r="K186" s="11" t="inlineStr"/>
      <c r="L186" s="10" t="inlineStr"/>
      <c r="M186" s="10" t="inlineStr"/>
      <c r="N186" s="10" t="inlineStr"/>
      <c r="O186" s="10" t="inlineStr"/>
    </row>
    <row r="187">
      <c r="A187" s="6" t="inlineStr">
        <is>
          <t>Data Science Co-Op - NLP &amp; GenAI</t>
        </is>
      </c>
      <c r="B187" s="6" t="inlineStr">
        <is>
          <t>Bose</t>
        </is>
      </c>
      <c r="C187" s="7" t="inlineStr">
        <is>
          <t>2026-03-03</t>
        </is>
      </c>
      <c r="D187" s="7" t="n">
        <v>11</v>
      </c>
      <c r="E187" s="7" t="inlineStr">
        <is>
          <t>MA</t>
        </is>
      </c>
      <c r="F187" s="8" t="n">
        <v>4</v>
      </c>
      <c r="G187" s="7" t="inlineStr">
        <is>
          <t>Simplify</t>
        </is>
      </c>
      <c r="H187" s="6" t="inlineStr">
        <is>
          <t>Framingham, MA</t>
        </is>
      </c>
      <c r="I187" s="9">
        <f>HYPERLINK("https://boseallaboutme.wd503.myworkdayjobs.com/Bose_Careers/job/US-MA---Framingham/Data-Science-Co-Op--NLP---GenAI-_R28652","Open")</f>
        <v/>
      </c>
      <c r="J187" s="7" t="inlineStr">
        <is>
          <t>No</t>
        </is>
      </c>
      <c r="K187" s="7" t="inlineStr"/>
      <c r="L187" s="6" t="inlineStr"/>
      <c r="M187" s="6" t="inlineStr"/>
      <c r="N187" s="6" t="inlineStr"/>
      <c r="O187" s="6" t="inlineStr"/>
    </row>
    <row r="188">
      <c r="A188" s="10" t="inlineStr">
        <is>
          <t>Software Engineer Systems Research Intern - Applied Emerging Talent</t>
        </is>
      </c>
      <c r="B188" s="10" t="inlineStr">
        <is>
          <t>OpenAI</t>
        </is>
      </c>
      <c r="C188" s="11" t="inlineStr">
        <is>
          <t>2026-03-03</t>
        </is>
      </c>
      <c r="D188" s="11" t="n">
        <v>11</v>
      </c>
      <c r="E188" s="11" t="inlineStr"/>
      <c r="F188" s="12" t="n">
        <v>9</v>
      </c>
      <c r="G188" s="11" t="inlineStr">
        <is>
          <t>Simplify</t>
        </is>
      </c>
      <c r="H188" s="10" t="inlineStr">
        <is>
          <t>SF</t>
        </is>
      </c>
      <c r="I188" s="13">
        <f>HYPERLINK("https://jobs.ashbyhq.com/openai/13a9e4e4-505b-4545-8b2b-b0bcc09c2b4f/application","Open")</f>
        <v/>
      </c>
      <c r="J188" s="11" t="inlineStr">
        <is>
          <t>No</t>
        </is>
      </c>
      <c r="K188" s="11" t="inlineStr"/>
      <c r="L188" s="10" t="inlineStr"/>
      <c r="M188" s="10" t="inlineStr"/>
      <c r="N188" s="10" t="inlineStr"/>
      <c r="O188" s="10" t="inlineStr"/>
    </row>
    <row r="189">
      <c r="A189" s="6" t="inlineStr">
        <is>
          <t>Geospatial AI Data Engineer Co-op Fall 2026</t>
        </is>
      </c>
      <c r="B189" s="6" t="inlineStr">
        <is>
          <t>Commonwealth of Massachusetts</t>
        </is>
      </c>
      <c r="C189" s="7" t="inlineStr">
        <is>
          <t>2026-03-03</t>
        </is>
      </c>
      <c r="D189" s="7" t="n">
        <v>11</v>
      </c>
      <c r="E189" s="7" t="inlineStr">
        <is>
          <t>MA</t>
        </is>
      </c>
      <c r="F189" s="8" t="n">
        <v>5</v>
      </c>
      <c r="G189" s="7" t="inlineStr">
        <is>
          <t>Simplify</t>
        </is>
      </c>
      <c r="H189" s="6" t="inlineStr">
        <is>
          <t>Boston, MA</t>
        </is>
      </c>
      <c r="I189" s="9">
        <f>HYPERLINK("https://massanf.taleo.net/careersection/ex/jobdetail.ftl?job=2600017W","Open")</f>
        <v/>
      </c>
      <c r="J189" s="7" t="inlineStr">
        <is>
          <t>No</t>
        </is>
      </c>
      <c r="K189" s="7" t="inlineStr"/>
      <c r="L189" s="6" t="inlineStr"/>
      <c r="M189" s="6" t="inlineStr"/>
      <c r="N189" s="6" t="inlineStr"/>
      <c r="O189" s="6" t="inlineStr"/>
    </row>
    <row r="190">
      <c r="A190" s="10" t="inlineStr">
        <is>
          <t>Intern Firmware Engineer</t>
        </is>
      </c>
      <c r="B190" s="10" t="inlineStr">
        <is>
          <t xml:space="preserve">Coherent </t>
        </is>
      </c>
      <c r="C190" s="11" t="inlineStr">
        <is>
          <t>2026-03-03</t>
        </is>
      </c>
      <c r="D190" s="11" t="n">
        <v>11</v>
      </c>
      <c r="E190" s="11" t="inlineStr">
        <is>
          <t>CA</t>
        </is>
      </c>
      <c r="F190" s="18" t="n">
        <v>5</v>
      </c>
      <c r="G190" s="11" t="inlineStr">
        <is>
          <t>Simplify</t>
        </is>
      </c>
      <c r="H190" s="10" t="inlineStr">
        <is>
          <t>Fremont, CA</t>
        </is>
      </c>
      <c r="I190" s="13">
        <f>HYPERLINK("https://hcwp.fa.us2.oraclecloud.com/hcmUI/CandidateExperience/en/sites/CX_1/job/2010917","Open")</f>
        <v/>
      </c>
      <c r="J190" s="11" t="inlineStr">
        <is>
          <t>No</t>
        </is>
      </c>
      <c r="K190" s="11" t="inlineStr"/>
      <c r="L190" s="10" t="inlineStr"/>
      <c r="M190" s="10" t="inlineStr"/>
      <c r="N190" s="10" t="inlineStr"/>
      <c r="O190" s="10" t="inlineStr"/>
    </row>
    <row r="191">
      <c r="A191" s="6" t="inlineStr">
        <is>
          <t>Intern – Embedded System Engineer</t>
        </is>
      </c>
      <c r="B191" s="6" t="inlineStr">
        <is>
          <t xml:space="preserve">Coherent </t>
        </is>
      </c>
      <c r="C191" s="7" t="inlineStr">
        <is>
          <t>2026-03-03</t>
        </is>
      </c>
      <c r="D191" s="7" t="n">
        <v>11</v>
      </c>
      <c r="E191" s="7" t="inlineStr">
        <is>
          <t>CA</t>
        </is>
      </c>
      <c r="F191" s="8" t="n">
        <v>5</v>
      </c>
      <c r="G191" s="7" t="inlineStr">
        <is>
          <t>Simplify</t>
        </is>
      </c>
      <c r="H191" s="6" t="inlineStr">
        <is>
          <t>Fremont, CA</t>
        </is>
      </c>
      <c r="I191" s="9">
        <f>HYPERLINK("https://hcwp.fa.us2.oraclecloud.com/hcmUI/CandidateExperience/en/sites/CX_1/job/2010918","Open")</f>
        <v/>
      </c>
      <c r="J191" s="7" t="inlineStr">
        <is>
          <t>No</t>
        </is>
      </c>
      <c r="K191" s="7" t="inlineStr"/>
      <c r="L191" s="6" t="inlineStr"/>
      <c r="M191" s="6" t="inlineStr"/>
      <c r="N191" s="6" t="inlineStr"/>
      <c r="O191" s="6" t="inlineStr"/>
    </row>
    <row r="192">
      <c r="A192" s="10" t="inlineStr">
        <is>
          <t>Full Stack Developer Intern</t>
        </is>
      </c>
      <c r="B192" s="10" t="inlineStr">
        <is>
          <t>Noda</t>
        </is>
      </c>
      <c r="C192" s="11" t="inlineStr">
        <is>
          <t>2026-03-03</t>
        </is>
      </c>
      <c r="D192" s="11" t="n">
        <v>11</v>
      </c>
      <c r="E192" s="11" t="inlineStr">
        <is>
          <t>CA</t>
        </is>
      </c>
      <c r="F192" s="18" t="n">
        <v>4</v>
      </c>
      <c r="G192" s="11" t="inlineStr">
        <is>
          <t>Simplify</t>
        </is>
      </c>
      <c r="H192" s="10" t="inlineStr">
        <is>
          <t>Ottawa, ON, Canada</t>
        </is>
      </c>
      <c r="I192" s="13">
        <f>HYPERLINK("https://noda-1720000970.teamtailor.com/jobs/7325506-full-stack-developer-intern?ats=teamtailor","Open")</f>
        <v/>
      </c>
      <c r="J192" s="11" t="inlineStr">
        <is>
          <t>No</t>
        </is>
      </c>
      <c r="K192" s="11" t="inlineStr"/>
      <c r="L192" s="10" t="inlineStr"/>
      <c r="M192" s="10" t="inlineStr"/>
      <c r="N192" s="10" t="inlineStr"/>
      <c r="O192" s="10" t="inlineStr"/>
    </row>
    <row r="193">
      <c r="A193" s="6" t="inlineStr">
        <is>
          <t>National Security Solutions – Internship – AI Engineer Intern - Nss</t>
        </is>
      </c>
      <c r="B193" s="6" t="inlineStr">
        <is>
          <t>KBR</t>
        </is>
      </c>
      <c r="C193" s="7" t="inlineStr">
        <is>
          <t>2026-03-03</t>
        </is>
      </c>
      <c r="D193" s="7" t="n">
        <v>12</v>
      </c>
      <c r="E193" s="7" t="inlineStr">
        <is>
          <t>CA</t>
        </is>
      </c>
      <c r="F193" s="8" t="n">
        <v>6</v>
      </c>
      <c r="G193" s="7" t="inlineStr">
        <is>
          <t>Simplify</t>
        </is>
      </c>
      <c r="H193" s="6" t="inlineStr">
        <is>
          <t>El Segundo, CA</t>
        </is>
      </c>
      <c r="I193" s="9">
        <f>HYPERLINK("https://kbr.wd5.myworkdayjobs.com/KBR_Careers/job/El-Segundo-California/National-Security-Solutions--NSS--Internship---AI-Engineer-Intern_R2119798","Open")</f>
        <v/>
      </c>
      <c r="J193" s="7" t="inlineStr">
        <is>
          <t>No</t>
        </is>
      </c>
      <c r="K193" s="7" t="inlineStr"/>
      <c r="L193" s="6" t="inlineStr"/>
      <c r="M193" s="6" t="inlineStr"/>
      <c r="N193" s="6" t="inlineStr"/>
      <c r="O193" s="6" t="inlineStr"/>
    </row>
    <row r="194">
      <c r="A194" s="10" t="inlineStr">
        <is>
          <t>Software Engineer Intern</t>
        </is>
      </c>
      <c r="B194" s="10" t="inlineStr">
        <is>
          <t>Leonardo</t>
        </is>
      </c>
      <c r="C194" s="11" t="inlineStr">
        <is>
          <t>2026-03-03</t>
        </is>
      </c>
      <c r="D194" s="11" t="n">
        <v>12</v>
      </c>
      <c r="E194" s="11" t="inlineStr"/>
      <c r="F194" s="12" t="n">
        <v>7</v>
      </c>
      <c r="G194" s="11" t="inlineStr">
        <is>
          <t>Simplify</t>
        </is>
      </c>
      <c r="H194" s="10" t="inlineStr">
        <is>
          <t>Edinburgh, UK</t>
        </is>
      </c>
      <c r="I194" s="13">
        <f>HYPERLINK("https://leonardocompany.wd3.myworkdayjobs.com/LeonardoCareerSite/job/GB---Edinburgh/Industrial-Placement-Software-Engineer_R0021706-1","Open")</f>
        <v/>
      </c>
      <c r="J194" s="11" t="inlineStr">
        <is>
          <t>No</t>
        </is>
      </c>
      <c r="K194" s="11" t="inlineStr"/>
      <c r="L194" s="10" t="inlineStr"/>
      <c r="M194" s="10" t="inlineStr"/>
      <c r="N194" s="10" t="inlineStr"/>
      <c r="O194" s="10" t="inlineStr"/>
    </row>
    <row r="195">
      <c r="A195" s="6" t="inlineStr">
        <is>
          <t>Millennium Space Systems Intern Program – Circuit and System Reliability Intern</t>
        </is>
      </c>
      <c r="B195" s="6" t="inlineStr">
        <is>
          <t>The Boeing Company</t>
        </is>
      </c>
      <c r="C195" s="7" t="inlineStr">
        <is>
          <t>2026-03-02</t>
        </is>
      </c>
      <c r="D195" s="7" t="n">
        <v>12</v>
      </c>
      <c r="E195" s="7" t="inlineStr">
        <is>
          <t>CA</t>
        </is>
      </c>
      <c r="F195" s="19" t="n">
        <v>7</v>
      </c>
      <c r="G195" s="7" t="inlineStr">
        <is>
          <t>Simplify</t>
        </is>
      </c>
      <c r="H195" s="6" t="inlineStr">
        <is>
          <t>El Segundo, CA</t>
        </is>
      </c>
      <c r="I195" s="9">
        <f>HYPERLINK("https://boeing.wd1.myworkdayjobs.com/EXTERNAL_CAREERS/job/USA---El-Segundo-CA/Millennium-Space-Systems-Summer-2026-Internship-Program---Circuit-and-System-Reliability-Intern_JR2026498510-1","Open")</f>
        <v/>
      </c>
      <c r="J195" s="7" t="inlineStr">
        <is>
          <t>No</t>
        </is>
      </c>
      <c r="K195" s="7" t="inlineStr"/>
      <c r="L195" s="6" t="inlineStr"/>
      <c r="M195" s="6" t="inlineStr"/>
      <c r="N195" s="6" t="inlineStr"/>
      <c r="O195" s="6" t="inlineStr"/>
    </row>
    <row r="196">
      <c r="A196" s="10" t="inlineStr">
        <is>
          <t>Millennium Space Systems Intern Program – Circuit and System Reliability Intern</t>
        </is>
      </c>
      <c r="B196" s="10" t="inlineStr">
        <is>
          <t>The Boeing Company</t>
        </is>
      </c>
      <c r="C196" s="11" t="inlineStr">
        <is>
          <t>2026-03-02</t>
        </is>
      </c>
      <c r="D196" s="11" t="n">
        <v>12</v>
      </c>
      <c r="E196" s="11" t="inlineStr">
        <is>
          <t>CA</t>
        </is>
      </c>
      <c r="F196" s="12" t="n">
        <v>7</v>
      </c>
      <c r="G196" s="11" t="inlineStr">
        <is>
          <t>Simplify</t>
        </is>
      </c>
      <c r="H196" s="10" t="inlineStr">
        <is>
          <t>El Segundo, CA</t>
        </is>
      </c>
      <c r="I196" s="13">
        <f>HYPERLINK("https://boeing.wd1.myworkdayjobs.com/INTERN/job/USA---El-Segundo-CA/Millennium-Space-Systems-Summer-2026-Internship-Program---Circuit-and-System-Reliability-Intern_JR2026498510","Open")</f>
        <v/>
      </c>
      <c r="J196" s="11" t="inlineStr">
        <is>
          <t>No</t>
        </is>
      </c>
      <c r="K196" s="11" t="inlineStr"/>
      <c r="L196" s="10" t="inlineStr"/>
      <c r="M196" s="10" t="inlineStr"/>
      <c r="N196" s="10" t="inlineStr"/>
      <c r="O196" s="10" t="inlineStr"/>
    </row>
    <row r="197">
      <c r="A197" s="6" t="inlineStr">
        <is>
          <t>Co-op – Software Engineer</t>
        </is>
      </c>
      <c r="B197" s="6" t="inlineStr">
        <is>
          <t>Fidelity Investments</t>
        </is>
      </c>
      <c r="C197" s="7" t="inlineStr">
        <is>
          <t>2026-03-02</t>
        </is>
      </c>
      <c r="D197" s="7" t="n">
        <v>12</v>
      </c>
      <c r="E197" s="7" t="inlineStr">
        <is>
          <t>MA</t>
        </is>
      </c>
      <c r="F197" s="19" t="n">
        <v>7</v>
      </c>
      <c r="G197" s="7" t="inlineStr">
        <is>
          <t>Simplify</t>
        </is>
      </c>
      <c r="H197" s="6" t="inlineStr">
        <is>
          <t>Boston, MA</t>
        </is>
      </c>
      <c r="I197" s="9">
        <f>HYPERLINK("https://fmr.wd1.myworkdayjobs.com/targeted/job/Boston-MA/Co-op--Software-Engineer_2125311","Open")</f>
        <v/>
      </c>
      <c r="J197" s="7" t="inlineStr">
        <is>
          <t>No</t>
        </is>
      </c>
      <c r="K197" s="7" t="inlineStr"/>
      <c r="L197" s="6" t="inlineStr"/>
      <c r="M197" s="6" t="inlineStr"/>
      <c r="N197" s="6" t="inlineStr"/>
      <c r="O197" s="6" t="inlineStr"/>
    </row>
    <row r="198">
      <c r="A198" s="10" t="inlineStr">
        <is>
          <t>Engines Engineering Intern/Co-op - Computer or Software Engineering</t>
        </is>
      </c>
      <c r="B198" s="10" t="inlineStr">
        <is>
          <t>GE Aerospace</t>
        </is>
      </c>
      <c r="C198" s="11" t="inlineStr">
        <is>
          <t>2026-03-02</t>
        </is>
      </c>
      <c r="D198" s="11" t="n">
        <v>12</v>
      </c>
      <c r="E198" s="11" t="inlineStr">
        <is>
          <t>MA</t>
        </is>
      </c>
      <c r="F198" s="21" t="n">
        <v>15</v>
      </c>
      <c r="G198" s="11" t="inlineStr">
        <is>
          <t>Simplify</t>
        </is>
      </c>
      <c r="H198" s="10" t="inlineStr">
        <is>
          <t>Saugus, MA, Sharonville, OH</t>
        </is>
      </c>
      <c r="I198" s="13">
        <f>HYPERLINK("https://geaerospace.wd5.myworkdayjobs.com/ge_externalsite/job/Evendale/Engines-Engineering-Co-op---Computer-or-Software-Engineering---US---Spring-2027_R5029619","Open")</f>
        <v/>
      </c>
      <c r="J198" s="11" t="inlineStr">
        <is>
          <t>No</t>
        </is>
      </c>
      <c r="K198" s="11" t="inlineStr"/>
      <c r="L198" s="10" t="inlineStr"/>
      <c r="M198" s="10" t="inlineStr"/>
      <c r="N198" s="10" t="inlineStr"/>
      <c r="O198" s="10" t="inlineStr"/>
    </row>
    <row r="199">
      <c r="A199" s="6" t="inlineStr">
        <is>
          <t>Intern/Co-op Software Full Stack Engineer</t>
        </is>
      </c>
      <c r="B199" s="6" t="inlineStr">
        <is>
          <t>Fidelity Investments</t>
        </is>
      </c>
      <c r="C199" s="7" t="inlineStr">
        <is>
          <t>2026-03-02</t>
        </is>
      </c>
      <c r="D199" s="7" t="n">
        <v>12</v>
      </c>
      <c r="E199" s="7" t="inlineStr">
        <is>
          <t>MA</t>
        </is>
      </c>
      <c r="F199" s="8" t="n">
        <v>5</v>
      </c>
      <c r="G199" s="7" t="inlineStr">
        <is>
          <t>Simplify</t>
        </is>
      </c>
      <c r="H199" s="6" t="inlineStr">
        <is>
          <t>Merrimack, NH, Boston, MA, Smithfield, RI</t>
        </is>
      </c>
      <c r="I199" s="9">
        <f>HYPERLINK("https://fmr.wd1.myworkdayjobs.com/targeted/job/Boston-MA/Co-op--Software-Full-Stack-Engineer_2125315","Open")</f>
        <v/>
      </c>
      <c r="J199" s="7" t="inlineStr">
        <is>
          <t>No</t>
        </is>
      </c>
      <c r="K199" s="7" t="inlineStr"/>
      <c r="L199" s="6" t="inlineStr"/>
      <c r="M199" s="6" t="inlineStr"/>
      <c r="N199" s="6" t="inlineStr"/>
      <c r="O199" s="6" t="inlineStr"/>
    </row>
    <row r="200">
      <c r="A200" s="10" t="inlineStr">
        <is>
          <t>Software Engineer Intern</t>
        </is>
      </c>
      <c r="B200" s="10" t="inlineStr">
        <is>
          <t>Premier</t>
        </is>
      </c>
      <c r="C200" s="11" t="inlineStr">
        <is>
          <t>2026-03-02</t>
        </is>
      </c>
      <c r="D200" s="11" t="n">
        <v>12</v>
      </c>
      <c r="E200" s="11" t="inlineStr">
        <is>
          <t>NC</t>
        </is>
      </c>
      <c r="F200" s="12" t="n">
        <v>7</v>
      </c>
      <c r="G200" s="11" t="inlineStr">
        <is>
          <t>Simplify</t>
        </is>
      </c>
      <c r="H200" s="10" t="inlineStr">
        <is>
          <t>Charlotte, NC</t>
        </is>
      </c>
      <c r="I200" s="13">
        <f>HYPERLINK("https://premierinc.wd1.myworkdayjobs.com/external_professional/job/Charlotte-NC/Software-Engineer-Intern_R0008139","Open")</f>
        <v/>
      </c>
      <c r="J200" s="11" t="inlineStr">
        <is>
          <t>No</t>
        </is>
      </c>
      <c r="K200" s="11" t="inlineStr"/>
      <c r="L200" s="10" t="inlineStr"/>
      <c r="M200" s="10" t="inlineStr"/>
      <c r="N200" s="10" t="inlineStr"/>
      <c r="O200" s="10" t="inlineStr"/>
    </row>
    <row r="201">
      <c r="A201" s="6" t="inlineStr">
        <is>
          <t>Software Developer Intern - Business Applications</t>
        </is>
      </c>
      <c r="B201" s="6" t="inlineStr">
        <is>
          <t>Artisan Partners</t>
        </is>
      </c>
      <c r="C201" s="7" t="inlineStr">
        <is>
          <t>2026-03-02</t>
        </is>
      </c>
      <c r="D201" s="7" t="n">
        <v>12</v>
      </c>
      <c r="E201" s="7" t="inlineStr">
        <is>
          <t>MI</t>
        </is>
      </c>
      <c r="F201" s="8" t="n">
        <v>5</v>
      </c>
      <c r="G201" s="7" t="inlineStr">
        <is>
          <t>Simplify</t>
        </is>
      </c>
      <c r="H201" s="6" t="inlineStr">
        <is>
          <t>Milwaukee, WI</t>
        </is>
      </c>
      <c r="I201" s="9">
        <f>HYPERLINK("https://www.artisanpartners.com/careers/career-opportunities.html?gh_jid=7668995","Open")</f>
        <v/>
      </c>
      <c r="J201" s="7" t="inlineStr">
        <is>
          <t>No</t>
        </is>
      </c>
      <c r="K201" s="7" t="inlineStr"/>
      <c r="L201" s="6" t="inlineStr"/>
      <c r="M201" s="6" t="inlineStr"/>
      <c r="N201" s="6" t="inlineStr"/>
      <c r="O201" s="6" t="inlineStr"/>
    </row>
    <row r="202">
      <c r="A202" s="10" t="inlineStr">
        <is>
          <t>Machine Learning Engineer Intern - PhD</t>
        </is>
      </c>
      <c r="B202" s="10" t="inlineStr">
        <is>
          <t>Airbnb</t>
        </is>
      </c>
      <c r="C202" s="11" t="inlineStr">
        <is>
          <t>2026-03-02</t>
        </is>
      </c>
      <c r="D202" s="11" t="n">
        <v>12</v>
      </c>
      <c r="E202" s="11" t="inlineStr"/>
      <c r="F202" s="18" t="n">
        <v>5</v>
      </c>
      <c r="G202" s="11" t="inlineStr">
        <is>
          <t>Simplify</t>
        </is>
      </c>
      <c r="H202" s="10" t="inlineStr">
        <is>
          <t>United States</t>
        </is>
      </c>
      <c r="I202" s="13">
        <f>HYPERLINK("https://careers.airbnb.com/positions/7669906?gh_jid=7669906","Open")</f>
        <v/>
      </c>
      <c r="J202" s="11" t="inlineStr">
        <is>
          <t>No</t>
        </is>
      </c>
      <c r="K202" s="11" t="inlineStr"/>
      <c r="L202" s="10" t="inlineStr"/>
      <c r="M202" s="10" t="inlineStr"/>
      <c r="N202" s="10" t="inlineStr"/>
      <c r="O202" s="10" t="inlineStr"/>
    </row>
    <row r="203">
      <c r="A203" s="6" t="inlineStr">
        <is>
          <t>Software Engineering Intern</t>
        </is>
      </c>
      <c r="B203" s="6" t="inlineStr">
        <is>
          <t>Starburst</t>
        </is>
      </c>
      <c r="C203" s="7" t="inlineStr">
        <is>
          <t>2026-03-02</t>
        </is>
      </c>
      <c r="D203" s="7" t="n">
        <v>12</v>
      </c>
      <c r="E203" s="7" t="inlineStr">
        <is>
          <t>MA</t>
        </is>
      </c>
      <c r="F203" s="20" t="n">
        <v>11</v>
      </c>
      <c r="G203" s="7" t="inlineStr">
        <is>
          <t>Simplify</t>
        </is>
      </c>
      <c r="H203" s="6" t="inlineStr">
        <is>
          <t>Boston, MA</t>
        </is>
      </c>
      <c r="I203" s="9">
        <f>HYPERLINK("https://job-boards.greenhouse.io/starburst/jobs/5123053008","Open")</f>
        <v/>
      </c>
      <c r="J203" s="7" t="inlineStr">
        <is>
          <t>No</t>
        </is>
      </c>
      <c r="K203" s="7" t="inlineStr"/>
      <c r="L203" s="6" t="inlineStr"/>
      <c r="M203" s="6" t="inlineStr"/>
      <c r="N203" s="6" t="inlineStr"/>
      <c r="O203" s="6" t="inlineStr"/>
    </row>
    <row r="204">
      <c r="A204" s="10" t="inlineStr">
        <is>
          <t>Software Engineer Intern</t>
        </is>
      </c>
      <c r="B204" s="10" t="inlineStr">
        <is>
          <t>Robert Half</t>
        </is>
      </c>
      <c r="C204" s="11" t="inlineStr">
        <is>
          <t>2026-03-02</t>
        </is>
      </c>
      <c r="D204" s="11" t="n">
        <v>12</v>
      </c>
      <c r="E204" s="11" t="inlineStr">
        <is>
          <t>CA</t>
        </is>
      </c>
      <c r="F204" s="12" t="n">
        <v>7</v>
      </c>
      <c r="G204" s="11" t="inlineStr">
        <is>
          <t>Simplify</t>
        </is>
      </c>
      <c r="H204" s="10" t="inlineStr">
        <is>
          <t>San Ramon, CA</t>
        </is>
      </c>
      <c r="I204" s="13">
        <f>HYPERLINK("https://roberthalf.wd1.myworkdayjobs.com/roberthalfcareers/job/SAN-RAMON/Software-Engineer-Virtual-Internship_JR-259698","Open")</f>
        <v/>
      </c>
      <c r="J204" s="11" t="inlineStr">
        <is>
          <t>No</t>
        </is>
      </c>
      <c r="K204" s="11" t="inlineStr"/>
      <c r="L204" s="10" t="inlineStr"/>
      <c r="M204" s="10" t="inlineStr"/>
      <c r="N204" s="10" t="inlineStr"/>
      <c r="O204" s="10" t="inlineStr"/>
    </row>
    <row r="205">
      <c r="A205" s="6" t="inlineStr">
        <is>
          <t>Software Engineer Intern</t>
        </is>
      </c>
      <c r="B205" s="6" t="inlineStr">
        <is>
          <t>Leidos</t>
        </is>
      </c>
      <c r="C205" s="7" t="inlineStr">
        <is>
          <t>2026-03-02</t>
        </is>
      </c>
      <c r="D205" s="7" t="n">
        <v>12</v>
      </c>
      <c r="E205" s="7" t="inlineStr">
        <is>
          <t>VA</t>
        </is>
      </c>
      <c r="F205" s="19" t="n">
        <v>7</v>
      </c>
      <c r="G205" s="7" t="inlineStr">
        <is>
          <t>Simplify</t>
        </is>
      </c>
      <c r="H205" s="6" t="inlineStr">
        <is>
          <t>Morgantown, WV, Reston, VA</t>
        </is>
      </c>
      <c r="I205" s="9">
        <f>HYPERLINK("https://leidos.wd5.myworkdayjobs.com/External/job/Reston-VA/Software-Engineer-Intern_R-00176962","Open")</f>
        <v/>
      </c>
      <c r="J205" s="7" t="inlineStr">
        <is>
          <t>No</t>
        </is>
      </c>
      <c r="K205" s="7" t="inlineStr"/>
      <c r="L205" s="6" t="inlineStr"/>
      <c r="M205" s="6" t="inlineStr"/>
      <c r="N205" s="6" t="inlineStr"/>
      <c r="O205" s="6" t="inlineStr"/>
    </row>
    <row r="206">
      <c r="A206" s="10" t="inlineStr">
        <is>
          <t>Software Developer Intern</t>
        </is>
      </c>
      <c r="B206" s="10" t="inlineStr">
        <is>
          <t>LAIKA Studios</t>
        </is>
      </c>
      <c r="C206" s="11" t="inlineStr">
        <is>
          <t>2026-03-02</t>
        </is>
      </c>
      <c r="D206" s="11" t="n">
        <v>12</v>
      </c>
      <c r="E206" s="11" t="inlineStr"/>
      <c r="F206" s="12" t="n">
        <v>7</v>
      </c>
      <c r="G206" s="11" t="inlineStr">
        <is>
          <t>Simplify</t>
        </is>
      </c>
      <c r="H206" s="10" t="inlineStr">
        <is>
          <t>Hillsboro, OR</t>
        </is>
      </c>
      <c r="I206" s="13">
        <f>HYPERLINK("https://www.laika.com/careers/job-listing?jobid=7624789&amp;gh_jid=7624789","Open")</f>
        <v/>
      </c>
      <c r="J206" s="11" t="inlineStr">
        <is>
          <t>No</t>
        </is>
      </c>
      <c r="K206" s="11" t="inlineStr"/>
      <c r="L206" s="10" t="inlineStr"/>
      <c r="M206" s="10" t="inlineStr"/>
      <c r="N206" s="10" t="inlineStr"/>
      <c r="O206" s="10" t="inlineStr"/>
    </row>
    <row r="207">
      <c r="A207" s="14" t="inlineStr">
        <is>
          <t>AI/ML Intern - Computer Vision</t>
        </is>
      </c>
      <c r="B207" s="14" t="inlineStr">
        <is>
          <t>Johnson &amp; Johnson</t>
        </is>
      </c>
      <c r="C207" s="15" t="inlineStr">
        <is>
          <t>2026-03-02</t>
        </is>
      </c>
      <c r="D207" s="15" t="n">
        <v>12</v>
      </c>
      <c r="E207" s="15" t="inlineStr">
        <is>
          <t>NJ</t>
        </is>
      </c>
      <c r="F207" s="33" t="n">
        <v>5</v>
      </c>
      <c r="G207" s="15" t="inlineStr">
        <is>
          <t>Simplify</t>
        </is>
      </c>
      <c r="H207" s="14" t="inlineStr">
        <is>
          <t>Edison, NJ, Washington, DC, Bridgewater Township, NJ, San Diego, CA, Ambler, PA</t>
        </is>
      </c>
      <c r="I207" s="17">
        <f>HYPERLINK("https://jj.wd5.myworkdayjobs.com/JJ/job/San-Diego-California-United-States-of-America/AI-ML-Intern--Computer-Vision_R-060024","Open")</f>
        <v/>
      </c>
      <c r="J207" s="15" t="inlineStr">
        <is>
          <t>No</t>
        </is>
      </c>
      <c r="K207" s="15" t="inlineStr"/>
      <c r="L207" s="14" t="inlineStr"/>
      <c r="M207" s="14" t="inlineStr"/>
      <c r="N207" s="14" t="inlineStr"/>
      <c r="O207" s="14" t="inlineStr"/>
    </row>
    <row r="208">
      <c r="A208" s="10" t="inlineStr">
        <is>
          <t>Part Time Student - Software Engineer - Waterloo, IA, Technology (CA)</t>
        </is>
      </c>
      <c r="B208" s="10" t="inlineStr">
        <is>
          <t>John Deere</t>
        </is>
      </c>
      <c r="C208" s="11" t="inlineStr">
        <is>
          <t>2026-03-02</t>
        </is>
      </c>
      <c r="D208" s="11" t="n">
        <v>12</v>
      </c>
      <c r="E208" s="11" t="inlineStr">
        <is>
          <t>WA</t>
        </is>
      </c>
      <c r="F208" s="12" t="n">
        <v>7</v>
      </c>
      <c r="G208" s="11" t="inlineStr">
        <is>
          <t>Simplify</t>
        </is>
      </c>
      <c r="H208" s="10" t="inlineStr">
        <is>
          <t>Waterloo, IA</t>
        </is>
      </c>
      <c r="I208" s="13">
        <f>HYPERLINK("https://johndeere.eightfold.ai/careers/job/137479374700","Open")</f>
        <v/>
      </c>
      <c r="J208" s="11" t="inlineStr">
        <is>
          <t>No</t>
        </is>
      </c>
      <c r="K208" s="11" t="inlineStr"/>
      <c r="L208" s="10" t="inlineStr"/>
      <c r="M208" s="10" t="inlineStr"/>
      <c r="N208" s="10" t="inlineStr"/>
      <c r="O208" s="10" t="inlineStr"/>
    </row>
    <row r="209">
      <c r="A209" s="6" t="inlineStr">
        <is>
          <t>Software Development Internship - Agentic AI tools</t>
        </is>
      </c>
      <c r="B209" s="6" t="inlineStr">
        <is>
          <t>Samsung</t>
        </is>
      </c>
      <c r="C209" s="7" t="inlineStr">
        <is>
          <t>2026-03-02</t>
        </is>
      </c>
      <c r="D209" s="7" t="n">
        <v>12</v>
      </c>
      <c r="E209" s="7" t="inlineStr">
        <is>
          <t>TX</t>
        </is>
      </c>
      <c r="F209" s="8" t="n">
        <v>5</v>
      </c>
      <c r="G209" s="7" t="inlineStr">
        <is>
          <t>Simplify</t>
        </is>
      </c>
      <c r="H209" s="6" t="inlineStr">
        <is>
          <t>Plano, TX</t>
        </is>
      </c>
      <c r="I209" s="9">
        <f>HYPERLINK("https://sec.wd3.myworkdayjobs.com/Samsung_Careers/job/6555-Excellence-Way-Plano-TX-USA/Software-Development-Internship--Agentic-AI-tools-_R114687","Open")</f>
        <v/>
      </c>
      <c r="J209" s="7" t="inlineStr">
        <is>
          <t>No</t>
        </is>
      </c>
      <c r="K209" s="7" t="inlineStr"/>
      <c r="L209" s="6" t="inlineStr"/>
      <c r="M209" s="6" t="inlineStr"/>
      <c r="N209" s="6" t="inlineStr"/>
      <c r="O209" s="6" t="inlineStr"/>
    </row>
    <row r="210">
      <c r="A210" s="10" t="inlineStr">
        <is>
          <t>Intern Firmware Engineer</t>
        </is>
      </c>
      <c r="B210" s="10" t="inlineStr">
        <is>
          <t>Advanced Energy</t>
        </is>
      </c>
      <c r="C210" s="11" t="inlineStr">
        <is>
          <t>2026-03-02</t>
        </is>
      </c>
      <c r="D210" s="11" t="n">
        <v>12</v>
      </c>
      <c r="E210" s="11" t="inlineStr">
        <is>
          <t>CA</t>
        </is>
      </c>
      <c r="F210" s="18" t="n">
        <v>5</v>
      </c>
      <c r="G210" s="11" t="inlineStr">
        <is>
          <t>Simplify</t>
        </is>
      </c>
      <c r="H210" s="10" t="inlineStr">
        <is>
          <t>Minnesota, Massachusetts, Colorado, California</t>
        </is>
      </c>
      <c r="I210" s="13">
        <f>HYPERLINK("https://jobs.advanced-energy.com/job/Wilmington-Intern-Firmware-Engineer-Summer-2026-MA-01887/1369220600/?ats=successfactors","Open")</f>
        <v/>
      </c>
      <c r="J210" s="11" t="inlineStr">
        <is>
          <t>No</t>
        </is>
      </c>
      <c r="K210" s="11" t="inlineStr"/>
      <c r="L210" s="10" t="inlineStr"/>
      <c r="M210" s="10" t="inlineStr"/>
      <c r="N210" s="10" t="inlineStr"/>
      <c r="O210" s="10" t="inlineStr"/>
    </row>
    <row r="211">
      <c r="A211" s="6" t="inlineStr">
        <is>
          <t>Advanced Degree Software Engineer Intern</t>
        </is>
      </c>
      <c r="B211" s="6" t="inlineStr">
        <is>
          <t>Oracle</t>
        </is>
      </c>
      <c r="C211" s="7" t="inlineStr">
        <is>
          <t>2026-03-02</t>
        </is>
      </c>
      <c r="D211" s="7" t="n">
        <v>12</v>
      </c>
      <c r="E211" s="7" t="inlineStr">
        <is>
          <t>CA</t>
        </is>
      </c>
      <c r="F211" s="19" t="n">
        <v>7</v>
      </c>
      <c r="G211" s="7" t="inlineStr">
        <is>
          <t>Simplify</t>
        </is>
      </c>
      <c r="H211" s="6" t="inlineStr">
        <is>
          <t>Pleasanton, CA, San Carlos, CA, Santa Clara, CA</t>
        </is>
      </c>
      <c r="I211" s="9">
        <f>HYPERLINK("https://eeho.fa.us2.oraclecloud.com/hcmUI/CandidateExperience/en/sites/CX_45001/job/329007","Open")</f>
        <v/>
      </c>
      <c r="J211" s="7" t="inlineStr">
        <is>
          <t>No</t>
        </is>
      </c>
      <c r="K211" s="7" t="inlineStr"/>
      <c r="L211" s="6" t="inlineStr"/>
      <c r="M211" s="6" t="inlineStr"/>
      <c r="N211" s="6" t="inlineStr"/>
      <c r="O211" s="6" t="inlineStr"/>
    </row>
    <row r="212">
      <c r="A212" s="10" t="inlineStr">
        <is>
          <t>Backend Software Engineering Intern 2026</t>
        </is>
      </c>
      <c r="B212" s="10" t="inlineStr">
        <is>
          <t>Verkada</t>
        </is>
      </c>
      <c r="C212" s="11" t="inlineStr">
        <is>
          <t>2026-03-09T13:31:13-04:00</t>
        </is>
      </c>
      <c r="D212" s="11" t="inlineStr"/>
      <c r="E212" s="11" t="inlineStr">
        <is>
          <t>CA</t>
        </is>
      </c>
      <c r="F212" s="21" t="n">
        <v>14</v>
      </c>
      <c r="G212" s="11" t="inlineStr">
        <is>
          <t>Greenhouse</t>
        </is>
      </c>
      <c r="H212" s="10" t="inlineStr">
        <is>
          <t>San Mateo, CA United States</t>
        </is>
      </c>
      <c r="I212" s="13">
        <f>HYPERLINK("https://job-boards.greenhouse.io/verkada/jobs/5026094007","Open")</f>
        <v/>
      </c>
      <c r="J212" s="11" t="inlineStr">
        <is>
          <t>No</t>
        </is>
      </c>
      <c r="K212" s="11" t="inlineStr"/>
      <c r="L212" s="10" t="inlineStr"/>
      <c r="M212" s="10" t="inlineStr"/>
      <c r="N212" s="10" t="inlineStr"/>
      <c r="O212" s="10" t="inlineStr"/>
    </row>
    <row r="213">
      <c r="A213" s="6" t="inlineStr">
        <is>
          <t>Summer 2026 Software Engineering Internship/Co-op</t>
        </is>
      </c>
      <c r="B213" s="6" t="inlineStr">
        <is>
          <t>SpaceX</t>
        </is>
      </c>
      <c r="C213" s="7" t="inlineStr">
        <is>
          <t>2026-02-12T14:35:31-05:00</t>
        </is>
      </c>
      <c r="D213" s="7" t="inlineStr"/>
      <c r="E213" s="7" t="inlineStr">
        <is>
          <t>FL</t>
        </is>
      </c>
      <c r="F213" s="20" t="n">
        <v>11</v>
      </c>
      <c r="G213" s="7" t="inlineStr">
        <is>
          <t>Greenhouse</t>
        </is>
      </c>
      <c r="H213" s="6" t="inlineStr">
        <is>
          <t>Flexible - Any SpaceX Site</t>
        </is>
      </c>
      <c r="I213" s="9">
        <f>HYPERLINK("https://boards.greenhouse.io/spacex/jobs/8149154002?gh_jid=8149154002","Open")</f>
        <v/>
      </c>
      <c r="J213" s="7" t="inlineStr">
        <is>
          <t>No</t>
        </is>
      </c>
      <c r="K213" s="7" t="inlineStr"/>
      <c r="L213" s="6" t="inlineStr"/>
      <c r="M213" s="6" t="inlineStr"/>
      <c r="N213" s="6" t="inlineStr"/>
      <c r="O213" s="6" t="inlineStr"/>
    </row>
    <row r="214">
      <c r="A214" s="10" t="inlineStr">
        <is>
          <t>Autonomy Software Intern — Humanoid Robotics</t>
        </is>
      </c>
      <c r="B214" s="10" t="inlineStr">
        <is>
          <t>Apptronik</t>
        </is>
      </c>
      <c r="C214" s="11" t="inlineStr">
        <is>
          <t>2026-02-26T13:22:13-05:00</t>
        </is>
      </c>
      <c r="D214" s="11" t="inlineStr"/>
      <c r="E214" s="11" t="inlineStr">
        <is>
          <t>TX</t>
        </is>
      </c>
      <c r="F214" s="21" t="n">
        <v>11</v>
      </c>
      <c r="G214" s="11" t="inlineStr">
        <is>
          <t>Greenhouse</t>
        </is>
      </c>
      <c r="H214" s="10" t="inlineStr">
        <is>
          <t>Austin, TX</t>
        </is>
      </c>
      <c r="I214" s="13">
        <f>HYPERLINK("https://boards.greenhouse.io/apptronik/jobs/5813869004?gh_jid=5813869004","Open")</f>
        <v/>
      </c>
      <c r="J214" s="11" t="inlineStr">
        <is>
          <t>No</t>
        </is>
      </c>
      <c r="K214" s="11" t="inlineStr"/>
      <c r="L214" s="10" t="inlineStr"/>
      <c r="M214" s="10" t="inlineStr"/>
      <c r="N214" s="10" t="inlineStr"/>
      <c r="O214" s="10" t="inlineStr"/>
    </row>
    <row r="215">
      <c r="A215" s="6" t="inlineStr">
        <is>
          <t>Software Engineer Intern, Pose (Vehicle State Estimation)</t>
        </is>
      </c>
      <c r="B215" s="6" t="inlineStr">
        <is>
          <t>Nuro</t>
        </is>
      </c>
      <c r="C215" s="7" t="inlineStr">
        <is>
          <t>2026-02-10T13:24:34-05:00</t>
        </is>
      </c>
      <c r="D215" s="7" t="inlineStr"/>
      <c r="E215" s="7" t="inlineStr">
        <is>
          <t>CA</t>
        </is>
      </c>
      <c r="F215" s="19" t="n">
        <v>9</v>
      </c>
      <c r="G215" s="7" t="inlineStr">
        <is>
          <t>Greenhouse</t>
        </is>
      </c>
      <c r="H215" s="6" t="inlineStr">
        <is>
          <t>Mountain View, California (HQ)</t>
        </is>
      </c>
      <c r="I215" s="9">
        <f>HYPERLINK("https://nuro.ai/careersitem?gh_jid=7545444","Open")</f>
        <v/>
      </c>
      <c r="J215" s="7" t="inlineStr">
        <is>
          <t>No</t>
        </is>
      </c>
      <c r="K215" s="7" t="inlineStr"/>
      <c r="L215" s="6" t="inlineStr"/>
      <c r="M215" s="6" t="inlineStr"/>
      <c r="N215" s="6" t="inlineStr"/>
      <c r="O215" s="6" t="inlineStr"/>
    </row>
    <row r="216">
      <c r="A216" s="10" t="inlineStr">
        <is>
          <t>Software Engineer, AI Platform - Intern</t>
        </is>
      </c>
      <c r="B216" s="10" t="inlineStr">
        <is>
          <t>Nuro</t>
        </is>
      </c>
      <c r="C216" s="11" t="inlineStr">
        <is>
          <t>2026-02-10T13:24:34-05:00</t>
        </is>
      </c>
      <c r="D216" s="11" t="inlineStr"/>
      <c r="E216" s="11" t="inlineStr">
        <is>
          <t>CA</t>
        </is>
      </c>
      <c r="F216" s="12" t="n">
        <v>9</v>
      </c>
      <c r="G216" s="11" t="inlineStr">
        <is>
          <t>Greenhouse</t>
        </is>
      </c>
      <c r="H216" s="10" t="inlineStr">
        <is>
          <t>Mountain View, California (HQ)</t>
        </is>
      </c>
      <c r="I216" s="13">
        <f>HYPERLINK("https://nuro.ai/careersitem?gh_jid=7351061","Open")</f>
        <v/>
      </c>
      <c r="J216" s="11" t="inlineStr">
        <is>
          <t>No</t>
        </is>
      </c>
      <c r="K216" s="11" t="inlineStr"/>
      <c r="L216" s="10" t="inlineStr"/>
      <c r="M216" s="10" t="inlineStr"/>
      <c r="N216" s="10" t="inlineStr"/>
      <c r="O216" s="10" t="inlineStr"/>
    </row>
    <row r="217">
      <c r="A217" s="6" t="inlineStr">
        <is>
          <t>Software Engineer, ML Infrastructure - Internship</t>
        </is>
      </c>
      <c r="B217" s="6" t="inlineStr">
        <is>
          <t>Nuro</t>
        </is>
      </c>
      <c r="C217" s="7" t="inlineStr">
        <is>
          <t>2026-02-10T13:24:34-05:00</t>
        </is>
      </c>
      <c r="D217" s="7" t="inlineStr"/>
      <c r="E217" s="7" t="inlineStr">
        <is>
          <t>CA</t>
        </is>
      </c>
      <c r="F217" s="19" t="n">
        <v>9</v>
      </c>
      <c r="G217" s="7" t="inlineStr">
        <is>
          <t>Greenhouse</t>
        </is>
      </c>
      <c r="H217" s="6" t="inlineStr">
        <is>
          <t>Mountain View, California (HQ)</t>
        </is>
      </c>
      <c r="I217" s="9">
        <f>HYPERLINK("https://nuro.ai/careersitem?gh_jid=7366266","Open")</f>
        <v/>
      </c>
      <c r="J217" s="7" t="inlineStr">
        <is>
          <t>No</t>
        </is>
      </c>
      <c r="K217" s="7" t="inlineStr"/>
      <c r="L217" s="6" t="inlineStr"/>
      <c r="M217" s="6" t="inlineStr"/>
      <c r="N217" s="6" t="inlineStr"/>
      <c r="O217" s="6" t="inlineStr"/>
    </row>
    <row r="218">
      <c r="A218" s="10" t="inlineStr">
        <is>
          <t xml:space="preserve">[Summer 2026] Software Engineer, Community Apprenticeship - Intern </t>
        </is>
      </c>
      <c r="B218" s="10" t="inlineStr">
        <is>
          <t>Roblox</t>
        </is>
      </c>
      <c r="C218" s="11" t="inlineStr">
        <is>
          <t>2026-03-06T11:26:15-05:00</t>
        </is>
      </c>
      <c r="D218" s="11" t="inlineStr"/>
      <c r="E218" s="11" t="inlineStr">
        <is>
          <t>CA</t>
        </is>
      </c>
      <c r="F218" s="12" t="n">
        <v>7</v>
      </c>
      <c r="G218" s="11" t="inlineStr">
        <is>
          <t>Greenhouse</t>
        </is>
      </c>
      <c r="H218" s="10" t="inlineStr">
        <is>
          <t>San Mateo, CA, United States</t>
        </is>
      </c>
      <c r="I218" s="13">
        <f>HYPERLINK("https://careers.roblox.com/jobs/7654991?gh_jid=7654991","Open")</f>
        <v/>
      </c>
      <c r="J218" s="11" t="inlineStr">
        <is>
          <t>No</t>
        </is>
      </c>
      <c r="K218" s="11" t="inlineStr"/>
      <c r="L218" s="10" t="inlineStr"/>
      <c r="M218" s="10" t="inlineStr"/>
      <c r="N218" s="10" t="inlineStr"/>
      <c r="O218" s="10" t="inlineStr"/>
    </row>
    <row r="219">
      <c r="A219" s="6" t="inlineStr">
        <is>
          <t>Software Engineer, Intern</t>
        </is>
      </c>
      <c r="B219" s="6" t="inlineStr">
        <is>
          <t>Stripe</t>
        </is>
      </c>
      <c r="C219" s="7" t="inlineStr">
        <is>
          <t>2026-03-13T19:00:45-04:00</t>
        </is>
      </c>
      <c r="D219" s="7" t="inlineStr"/>
      <c r="E219" s="7" t="inlineStr"/>
      <c r="F219" s="19" t="n">
        <v>7</v>
      </c>
      <c r="G219" s="7" t="inlineStr">
        <is>
          <t>Greenhouse</t>
        </is>
      </c>
      <c r="H219" s="6" t="inlineStr">
        <is>
          <t>Dublin</t>
        </is>
      </c>
      <c r="I219" s="9">
        <f>HYPERLINK("https://stripe.com/jobs/search?gh_jid=7206494","Open")</f>
        <v/>
      </c>
      <c r="J219" s="7" t="inlineStr">
        <is>
          <t>No</t>
        </is>
      </c>
      <c r="K219" s="7" t="inlineStr"/>
      <c r="L219" s="6" t="inlineStr"/>
      <c r="M219" s="6" t="inlineStr"/>
      <c r="N219" s="6" t="inlineStr"/>
      <c r="O219" s="6" t="inlineStr"/>
    </row>
    <row r="220">
      <c r="A220" s="10" t="inlineStr">
        <is>
          <t>Software Engineer, Intern</t>
        </is>
      </c>
      <c r="B220" s="10" t="inlineStr">
        <is>
          <t>Stripe</t>
        </is>
      </c>
      <c r="C220" s="11" t="inlineStr">
        <is>
          <t>2026-03-13T19:00:45-04:00</t>
        </is>
      </c>
      <c r="D220" s="11" t="inlineStr"/>
      <c r="E220" s="11" t="inlineStr"/>
      <c r="F220" s="12" t="n">
        <v>7</v>
      </c>
      <c r="G220" s="11" t="inlineStr">
        <is>
          <t>Greenhouse</t>
        </is>
      </c>
      <c r="H220" s="10" t="inlineStr">
        <is>
          <t>Singapore</t>
        </is>
      </c>
      <c r="I220" s="13">
        <f>HYPERLINK("https://stripe.com/jobs/search?gh_jid=7206401","Open")</f>
        <v/>
      </c>
      <c r="J220" s="11" t="inlineStr">
        <is>
          <t>No</t>
        </is>
      </c>
      <c r="K220" s="11" t="inlineStr"/>
      <c r="L220" s="10" t="inlineStr"/>
      <c r="M220" s="10" t="inlineStr"/>
      <c r="N220" s="10" t="inlineStr"/>
      <c r="O220" s="10" t="inlineStr"/>
    </row>
    <row r="221">
      <c r="A221" s="6" t="inlineStr">
        <is>
          <t>Software Engineer, Internal Systems</t>
        </is>
      </c>
      <c r="B221" s="6" t="inlineStr">
        <is>
          <t>Stripe</t>
        </is>
      </c>
      <c r="C221" s="7" t="inlineStr">
        <is>
          <t>2026-03-13T19:00:45-04:00</t>
        </is>
      </c>
      <c r="D221" s="7" t="inlineStr"/>
      <c r="E221" s="7" t="inlineStr"/>
      <c r="F221" s="19" t="n">
        <v>7</v>
      </c>
      <c r="G221" s="7" t="inlineStr">
        <is>
          <t>Greenhouse</t>
        </is>
      </c>
      <c r="H221" s="6" t="inlineStr">
        <is>
          <t>Bengaluru, India</t>
        </is>
      </c>
      <c r="I221" s="9">
        <f>HYPERLINK("https://stripe.com/jobs/search?gh_jid=7543868","Open")</f>
        <v/>
      </c>
      <c r="J221" s="7" t="inlineStr">
        <is>
          <t>No</t>
        </is>
      </c>
      <c r="K221" s="7" t="inlineStr"/>
      <c r="L221" s="6" t="inlineStr"/>
      <c r="M221" s="6" t="inlineStr"/>
      <c r="N221" s="6" t="inlineStr"/>
      <c r="O221" s="6" t="inlineStr"/>
    </row>
    <row r="222">
      <c r="A222" s="10" t="inlineStr">
        <is>
          <t>Perception Software Intern — Humanoid Robotics</t>
        </is>
      </c>
      <c r="B222" s="10" t="inlineStr">
        <is>
          <t>Apptronik</t>
        </is>
      </c>
      <c r="C222" s="11" t="inlineStr">
        <is>
          <t>2026-02-23T11:33:16-05:00</t>
        </is>
      </c>
      <c r="D222" s="11" t="inlineStr"/>
      <c r="E222" s="11" t="inlineStr">
        <is>
          <t>TX</t>
        </is>
      </c>
      <c r="F222" s="12" t="n">
        <v>7</v>
      </c>
      <c r="G222" s="11" t="inlineStr">
        <is>
          <t>Greenhouse</t>
        </is>
      </c>
      <c r="H222" s="10" t="inlineStr">
        <is>
          <t>Austin, TX</t>
        </is>
      </c>
      <c r="I222" s="13">
        <f>HYPERLINK("https://boards.greenhouse.io/apptronik/jobs/5789359004?gh_jid=5789359004","Open")</f>
        <v/>
      </c>
      <c r="J222" s="11" t="inlineStr">
        <is>
          <t>No</t>
        </is>
      </c>
      <c r="K222" s="11" t="inlineStr"/>
      <c r="L222" s="10" t="inlineStr"/>
      <c r="M222" s="10" t="inlineStr"/>
      <c r="N222" s="10" t="inlineStr"/>
      <c r="O222" s="10" t="inlineStr"/>
    </row>
    <row r="223">
      <c r="A223" s="6" t="inlineStr">
        <is>
          <t>Embedded Intern - Security 2026</t>
        </is>
      </c>
      <c r="B223" s="6" t="inlineStr">
        <is>
          <t>Verkada</t>
        </is>
      </c>
      <c r="C223" s="7" t="inlineStr">
        <is>
          <t>2026-03-11T09:29:32-04:00</t>
        </is>
      </c>
      <c r="D223" s="7" t="inlineStr"/>
      <c r="E223" s="7" t="inlineStr">
        <is>
          <t>CA</t>
        </is>
      </c>
      <c r="F223" s="8" t="n">
        <v>5</v>
      </c>
      <c r="G223" s="7" t="inlineStr">
        <is>
          <t>Greenhouse</t>
        </is>
      </c>
      <c r="H223" s="6" t="inlineStr">
        <is>
          <t>San Mateo, CA United States</t>
        </is>
      </c>
      <c r="I223" s="9">
        <f>HYPERLINK("https://job-boards.greenhouse.io/verkada/jobs/4915313007","Open")</f>
        <v/>
      </c>
      <c r="J223" s="7" t="inlineStr">
        <is>
          <t>No</t>
        </is>
      </c>
      <c r="K223" s="7" t="inlineStr"/>
      <c r="L223" s="6" t="inlineStr"/>
      <c r="M223" s="6" t="inlineStr"/>
      <c r="N223" s="6" t="inlineStr"/>
      <c r="O223" s="6" t="inlineStr"/>
    </row>
    <row r="224">
      <c r="A224" s="10" t="inlineStr">
        <is>
          <t>Systems Engineering Intern, Compliance Coverage ML</t>
        </is>
      </c>
      <c r="B224" s="10" t="inlineStr">
        <is>
          <t>Nuro</t>
        </is>
      </c>
      <c r="C224" s="11" t="inlineStr">
        <is>
          <t>2026-02-10T13:24:34-05:00</t>
        </is>
      </c>
      <c r="D224" s="11" t="inlineStr"/>
      <c r="E224" s="11" t="inlineStr">
        <is>
          <t>CA</t>
        </is>
      </c>
      <c r="F224" s="18" t="n">
        <v>4</v>
      </c>
      <c r="G224" s="11" t="inlineStr">
        <is>
          <t>Greenhouse</t>
        </is>
      </c>
      <c r="H224" s="10" t="inlineStr">
        <is>
          <t>Mountain View, California (HQ)</t>
        </is>
      </c>
      <c r="I224" s="13">
        <f>HYPERLINK("https://nuro.ai/careersitem?gh_jid=7562197","Open")</f>
        <v/>
      </c>
      <c r="J224" s="11" t="inlineStr">
        <is>
          <t>No</t>
        </is>
      </c>
      <c r="K224" s="11" t="inlineStr"/>
      <c r="L224" s="10" t="inlineStr"/>
      <c r="M224" s="10" t="inlineStr"/>
      <c r="N224" s="10" t="inlineStr"/>
      <c r="O224" s="10" t="inlineStr"/>
    </row>
  </sheetData>
  <autoFilter ref="A1:O224"/>
  <dataValidations count="3">
    <dataValidation sqref="J2:J224" showDropDown="0" showInputMessage="0" showErrorMessage="0" allowBlank="1" type="list">
      <formula1>"Yes,No"</formula1>
    </dataValidation>
    <dataValidation sqref="K2:K224" showDropDown="0" showInputMessage="0" showErrorMessage="0" allowBlank="1" type="list">
      <formula1>"1,2,3,4,5"</formula1>
    </dataValidation>
    <dataValidation sqref="N2:N224" showDropDown="0" showInputMessage="0" showErrorMessage="0" allowBlank="1" type="list">
      <formula1>"Applied,Interviewing,Offer,Rejected,Too Lazy"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2026-03-15T08:50:28Z</dcterms:created>
  <dcterms:modified xsi:type="dcterms:W3CDTF">2026-03-15T08:50:29Z</dcterms:modified>
</cp:coreProperties>
</file>